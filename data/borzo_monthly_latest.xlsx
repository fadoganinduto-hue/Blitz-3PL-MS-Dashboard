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/Users/dufadoganinduto/Desktop/Key Sheets/Borzo Metrics Related/"/>
    </mc:Choice>
  </mc:AlternateContent>
  <xr:revisionPtr revIDLastSave="75" documentId="13_ncr:1_{C655528A-4C1B-704E-B904-7826179D0D6A}" xr6:coauthVersionLast="47" xr6:coauthVersionMax="47" xr10:uidLastSave="{10BF4D9D-07ED-45D0-A91E-137C4E10A333}"/>
  <bookViews>
    <workbookView xWindow="-2820" yWindow="-21100" windowWidth="38400" windowHeight="21100" firstSheet="1" activeTab="1" xr2:uid="{00000000-000D-0000-FFFF-FFFF00000000}"/>
  </bookViews>
  <sheets>
    <sheet name="Query result" sheetId="1" r:id="rId1"/>
    <sheet name="Summary" sheetId="2" r:id="rId2"/>
  </sheets>
  <definedNames>
    <definedName name="_xlnm._FilterDatabase" localSheetId="0" hidden="1">'Query result'!$A$1:$CF$1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3" i="2" l="1"/>
  <c r="C11" i="2" a="1"/>
  <c r="C11" i="2"/>
  <c r="C9" i="2" a="1"/>
  <c r="C9" i="2"/>
  <c r="C7" i="2" a="1"/>
  <c r="C7" i="2"/>
  <c r="C5" i="2" a="1"/>
  <c r="C5" i="2"/>
  <c r="C3" i="2" a="1"/>
  <c r="C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<sst xmlns="http://schemas.openxmlformats.org/spreadsheetml/2006/main" count="142" uniqueCount="100">
  <si>
    <t>year</t>
  </si>
  <si>
    <t>timespan</t>
  </si>
  <si>
    <t>last date</t>
  </si>
  <si>
    <t>revenue after VAT</t>
  </si>
  <si>
    <t>revenue</t>
  </si>
  <si>
    <t>revenue experiments</t>
  </si>
  <si>
    <t>revenue wo experiments</t>
  </si>
  <si>
    <t>revenue usd after VAT</t>
  </si>
  <si>
    <t>revenue usd</t>
  </si>
  <si>
    <t>revenue experiments usd</t>
  </si>
  <si>
    <t>revenue wo experiments usd</t>
  </si>
  <si>
    <t>margin</t>
  </si>
  <si>
    <t>cash margin</t>
  </si>
  <si>
    <t>noncash margin</t>
  </si>
  <si>
    <t>cash margin wo add services</t>
  </si>
  <si>
    <t>noncash margin wo add services</t>
  </si>
  <si>
    <t>saved taxes</t>
  </si>
  <si>
    <t>penalties</t>
  </si>
  <si>
    <t>additional charges</t>
  </si>
  <si>
    <t>VAT and other indirect taxes</t>
  </si>
  <si>
    <t>VAT and other indirect taxes usd</t>
  </si>
  <si>
    <t>billing</t>
  </si>
  <si>
    <t>billing usd</t>
  </si>
  <si>
    <t>bank billing</t>
  </si>
  <si>
    <t>%bank billing</t>
  </si>
  <si>
    <t>%margin</t>
  </si>
  <si>
    <t>%margin wo experiments</t>
  </si>
  <si>
    <t>%margin after VAT</t>
  </si>
  <si>
    <t>YtY billing</t>
  </si>
  <si>
    <t>YtY revenue</t>
  </si>
  <si>
    <t>YtY orders</t>
  </si>
  <si>
    <t>YtY deliveries</t>
  </si>
  <si>
    <t>TtT orders</t>
  </si>
  <si>
    <t>TtT deliveries</t>
  </si>
  <si>
    <t>AOV</t>
  </si>
  <si>
    <t>AOV usd</t>
  </si>
  <si>
    <t>AOR</t>
  </si>
  <si>
    <t>AOR after VAT</t>
  </si>
  <si>
    <t>ADV</t>
  </si>
  <si>
    <t>ADV usd</t>
  </si>
  <si>
    <t>ADR</t>
  </si>
  <si>
    <t>ADR after VAT</t>
  </si>
  <si>
    <t>cash ADV wo add services</t>
  </si>
  <si>
    <t>noncash ADV wo add services</t>
  </si>
  <si>
    <t>cash commission</t>
  </si>
  <si>
    <t>noncash commission</t>
  </si>
  <si>
    <t>completed orders</t>
  </si>
  <si>
    <t>cash orders</t>
  </si>
  <si>
    <t>%cash orders</t>
  </si>
  <si>
    <t>noncash orders</t>
  </si>
  <si>
    <t>contract orders</t>
  </si>
  <si>
    <t>insured orders</t>
  </si>
  <si>
    <t>%insured orders</t>
  </si>
  <si>
    <t>insurance fee</t>
  </si>
  <si>
    <t>created orders</t>
  </si>
  <si>
    <t>created draft orders</t>
  </si>
  <si>
    <t>cancelled orders</t>
  </si>
  <si>
    <t>%cancelled</t>
  </si>
  <si>
    <t>completed deliveries</t>
  </si>
  <si>
    <t>deliveries</t>
  </si>
  <si>
    <t>cash deliveries</t>
  </si>
  <si>
    <t>noncash deliveries</t>
  </si>
  <si>
    <t>new clients</t>
  </si>
  <si>
    <t>YtY new clients</t>
  </si>
  <si>
    <t>%new clients</t>
  </si>
  <si>
    <t>active clients</t>
  </si>
  <si>
    <t>YtY active clients</t>
  </si>
  <si>
    <t>returned clients</t>
  </si>
  <si>
    <t>YtY returned clients</t>
  </si>
  <si>
    <t>%returned clients</t>
  </si>
  <si>
    <t>new couriers</t>
  </si>
  <si>
    <t>YtY new couriers</t>
  </si>
  <si>
    <t>%new couriers</t>
  </si>
  <si>
    <t>active couriers</t>
  </si>
  <si>
    <t>YtY active couriers</t>
  </si>
  <si>
    <t>deliveries/ order</t>
  </si>
  <si>
    <t>deliveries/ cash order</t>
  </si>
  <si>
    <t>deliveries/ noncash order</t>
  </si>
  <si>
    <t>deliveries/ client</t>
  </si>
  <si>
    <t>deliveries/ courier</t>
  </si>
  <si>
    <t>orders/ client</t>
  </si>
  <si>
    <t>orders/ courier</t>
  </si>
  <si>
    <t>orders/ new client</t>
  </si>
  <si>
    <t>orders/ returned client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</si>
  <si>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</si>
  <si>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</si>
  <si>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</si>
  <si>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</si>
  <si>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</si>
  <si>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</si>
  <si>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</si>
  <si>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</si>
  <si>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</si>
  <si>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</si>
  <si>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</si>
  <si>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</si>
  <si>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Revenue</t>
  </si>
  <si>
    <t>Completed Deliveries</t>
  </si>
  <si>
    <t>Active Clients</t>
  </si>
  <si>
    <t>Active Couriers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</si>
</sst>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"/>
    <numFmt numFmtId="165" formatCode="mmmm\ d\,\ yyyy"/>
    <numFmt numFmtId="166" formatCode="#,##0.##"/>
    <numFmt numFmtId="167" formatCode="[$-409]mmm\-yy;@"/>
    <numFmt numFmtId="168" formatCode="_(* #,##0_);_(* \(#,##0\);_(* &quot;-&quot;??_);_(@_)"/>
  </numFmts>
  <fonts count="2"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4" fontId="1" fillId="0" borderId="0" xfId="0" applyNumberFormat="1" applyFont="1"/>
    <xf numFmtId="3" fontId="1" fillId="0" borderId="0" xfId="0" applyNumberFormat="1" applyFont="1"/>
    <xf numFmtId="14" fontId="0" fillId="0" borderId="0" xfId="0" applyNumberFormat="1"/>
    <xf numFmtId="167" fontId="0" fillId="0" borderId="0" xfId="0" applyNumberFormat="1"/>
    <xf numFmtId="0" fontId="0" fillId="2" borderId="0" xfId="0" applyFill="1"/>
    <xf numFmtId="168" fontId="0" fillId="0" borderId="0" xfId="0" applyNumberFormat="1"/>
    <xf numFmtId="167" fontId="0" fillId="3" borderId="0" xfId="0" applyNumberFormat="1" applyFill="1"/>
    <xf numFmtId="167" fontId="0" fillId="4" borderId="0" xfId="0" applyNumberForma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61"/>
  <sheetViews>
    <sheetView workbookViewId="0">
      <pane xSplit="5" ySplit="1" topLeftCell="BD33" activePane="bottomRight" state="frozen"/>
      <selection pane="bottomRight" activeCell="BK56" sqref="BK56"/>
      <selection pane="bottomLeft" activeCell="A2" sqref="A2"/>
      <selection pane="topRight" activeCell="F1" sqref="F1"/>
    </sheetView>
  </sheetViews>
  <sheetFormatPr defaultColWidth="8.85546875" defaultRowHeight="15"/>
  <cols>
    <col min="1" max="1" width="6.7109375" bestFit="1" customWidth="1"/>
    <col min="2" max="2" width="10.42578125" bestFit="1" customWidth="1"/>
    <col min="3" max="3" width="20" customWidth="1"/>
    <col min="4" max="4" width="16.140625" bestFit="1" customWidth="1"/>
    <col min="5" max="5" width="12.7109375" bestFit="1" customWidth="1"/>
    <col min="6" max="6" width="18.85546875" bestFit="1" customWidth="1"/>
    <col min="7" max="7" width="21.28515625" bestFit="1" customWidth="1"/>
    <col min="8" max="8" width="19.42578125" bestFit="1" customWidth="1"/>
    <col min="9" max="9" width="12.7109375" bestFit="1" customWidth="1"/>
    <col min="10" max="10" width="22" bestFit="1" customWidth="1"/>
    <col min="11" max="11" width="24.7109375" bestFit="1" customWidth="1"/>
    <col min="12" max="12" width="12.7109375" bestFit="1" customWidth="1"/>
    <col min="13" max="13" width="12.42578125" bestFit="1" customWidth="1"/>
    <col min="14" max="14" width="15.42578125" bestFit="1" customWidth="1"/>
    <col min="15" max="15" width="24.7109375" bestFit="1" customWidth="1"/>
    <col min="16" max="16" width="27.7109375" bestFit="1" customWidth="1"/>
    <col min="17" max="17" width="12" bestFit="1" customWidth="1"/>
    <col min="18" max="18" width="10.28515625" bestFit="1" customWidth="1"/>
    <col min="19" max="19" width="17" bestFit="1" customWidth="1"/>
    <col min="20" max="20" width="23.7109375" bestFit="1" customWidth="1"/>
    <col min="21" max="21" width="27" bestFit="1" customWidth="1"/>
    <col min="22" max="22" width="12.7109375" bestFit="1" customWidth="1"/>
    <col min="23" max="23" width="11.28515625" bestFit="1" customWidth="1"/>
    <col min="24" max="24" width="12.7109375" bestFit="1" customWidth="1"/>
    <col min="25" max="25" width="13.42578125" bestFit="1" customWidth="1"/>
    <col min="26" max="26" width="10" bestFit="1" customWidth="1"/>
    <col min="27" max="27" width="21.85546875" bestFit="1" customWidth="1"/>
    <col min="28" max="28" width="16.7109375" bestFit="1" customWidth="1"/>
    <col min="29" max="29" width="10.7109375" bestFit="1" customWidth="1"/>
    <col min="30" max="30" width="12" bestFit="1" customWidth="1"/>
    <col min="31" max="31" width="10.85546875" bestFit="1" customWidth="1"/>
    <col min="32" max="32" width="13" bestFit="1" customWidth="1"/>
    <col min="33" max="33" width="10.85546875" bestFit="1" customWidth="1"/>
    <col min="34" max="34" width="13" bestFit="1" customWidth="1"/>
    <col min="35" max="35" width="9.140625" bestFit="1" customWidth="1"/>
    <col min="36" max="36" width="10" bestFit="1" customWidth="1"/>
    <col min="37" max="37" width="8.140625" bestFit="1" customWidth="1"/>
    <col min="38" max="38" width="13.42578125" bestFit="1" customWidth="1"/>
    <col min="39" max="39" width="9.140625" bestFit="1" customWidth="1"/>
    <col min="40" max="40" width="10" bestFit="1" customWidth="1"/>
    <col min="41" max="41" width="8.140625" bestFit="1" customWidth="1"/>
    <col min="42" max="42" width="13.42578125" bestFit="1" customWidth="1"/>
    <col min="43" max="43" width="22.7109375" bestFit="1" customWidth="1"/>
    <col min="44" max="44" width="25.85546875" bestFit="1" customWidth="1"/>
    <col min="45" max="45" width="16.7109375" bestFit="1" customWidth="1"/>
    <col min="46" max="46" width="19.85546875" bestFit="1" customWidth="1"/>
    <col min="47" max="47" width="16.7109375" bestFit="1" customWidth="1"/>
    <col min="48" max="48" width="12.140625" bestFit="1" customWidth="1"/>
    <col min="49" max="49" width="13.42578125" bestFit="1" customWidth="1"/>
    <col min="50" max="50" width="15.140625" bestFit="1" customWidth="1"/>
    <col min="51" max="51" width="14.7109375" bestFit="1" customWidth="1"/>
    <col min="52" max="52" width="14.140625" bestFit="1" customWidth="1"/>
    <col min="53" max="53" width="15.42578125" bestFit="1" customWidth="1"/>
    <col min="54" max="54" width="13.28515625" bestFit="1" customWidth="1"/>
    <col min="55" max="55" width="14" bestFit="1" customWidth="1"/>
    <col min="56" max="56" width="17.7109375" bestFit="1" customWidth="1"/>
    <col min="57" max="57" width="15.85546875" bestFit="1" customWidth="1"/>
    <col min="58" max="58" width="12.140625" bestFit="1" customWidth="1"/>
    <col min="59" max="59" width="19" bestFit="1" customWidth="1"/>
    <col min="60" max="60" width="10.42578125" bestFit="1" customWidth="1"/>
    <col min="61" max="61" width="14.28515625" bestFit="1" customWidth="1"/>
    <col min="62" max="62" width="17.28515625" bestFit="1" customWidth="1"/>
    <col min="63" max="63" width="11.85546875" bestFit="1" customWidth="1"/>
    <col min="64" max="64" width="14.28515625" bestFit="1" customWidth="1"/>
    <col min="65" max="65" width="13.140625" bestFit="1" customWidth="1"/>
    <col min="66" max="66" width="13" bestFit="1" customWidth="1"/>
    <col min="67" max="67" width="15.42578125" bestFit="1" customWidth="1"/>
    <col min="68" max="68" width="15" bestFit="1" customWidth="1"/>
    <col min="69" max="69" width="17.42578125" bestFit="1" customWidth="1"/>
    <col min="70" max="70" width="16.28515625" bestFit="1" customWidth="1"/>
    <col min="71" max="71" width="12.85546875" bestFit="1" customWidth="1"/>
    <col min="72" max="72" width="15.28515625" bestFit="1" customWidth="1"/>
    <col min="73" max="73" width="14.140625" bestFit="1" customWidth="1"/>
    <col min="74" max="74" width="14" bestFit="1" customWidth="1"/>
    <col min="75" max="75" width="16.42578125" bestFit="1" customWidth="1"/>
    <col min="76" max="76" width="15.140625" bestFit="1" customWidth="1"/>
    <col min="77" max="77" width="19.140625" bestFit="1" customWidth="1"/>
    <col min="78" max="78" width="22.140625" bestFit="1" customWidth="1"/>
    <col min="79" max="79" width="15.28515625" bestFit="1" customWidth="1"/>
    <col min="80" max="80" width="16.28515625" bestFit="1" customWidth="1"/>
    <col min="81" max="81" width="13.140625" bestFit="1" customWidth="1"/>
    <col min="82" max="82" width="14.140625" bestFit="1" customWidth="1"/>
    <col min="83" max="83" width="16.42578125" bestFit="1" customWidth="1"/>
    <col min="84" max="84" width="19.85546875" bestFit="1" customWidth="1"/>
  </cols>
  <sheetData>
    <row r="1" spans="1:84">
      <c r="A1" t="s">
        <v>0</v>
      </c>
      <c r="B1" t="s">
        <v>1</v>
      </c>
      <c r="C1" t="s">
        <v>2</v>
      </c>
      <c r="D1" t="s">
        <v>3</v>
      </c>
      <c r="E1" s="1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s="1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s="1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s="1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 s="1">
        <v>2022</v>
      </c>
      <c r="B2" t="s">
        <v>84</v>
      </c>
      <c r="C2" s="2">
        <v>44592</v>
      </c>
      <c r="D2" s="4">
        <v>1071813010</v>
      </c>
      <c r="E2" s="4">
        <v>1134379400</v>
      </c>
      <c r="F2" s="4">
        <v>0</v>
      </c>
      <c r="G2" s="4">
        <v>1134379400</v>
      </c>
      <c r="H2" s="3">
        <v>74763.44</v>
      </c>
      <c r="I2" s="4">
        <v>79110</v>
      </c>
      <c r="J2" s="4">
        <v>0</v>
      </c>
      <c r="K2" s="4">
        <v>79110</v>
      </c>
      <c r="L2" s="4">
        <v>1201221200</v>
      </c>
      <c r="M2" s="4">
        <v>343454800</v>
      </c>
      <c r="N2" s="4">
        <v>857766400</v>
      </c>
      <c r="O2" s="4">
        <v>331611700</v>
      </c>
      <c r="P2" s="4">
        <v>834402800</v>
      </c>
      <c r="Q2" s="4">
        <v>0</v>
      </c>
      <c r="R2" s="4">
        <v>10540000</v>
      </c>
      <c r="S2" s="4">
        <v>77381800</v>
      </c>
      <c r="T2" s="4">
        <v>-62566390</v>
      </c>
      <c r="U2" s="3">
        <v>-4346.5600000000004</v>
      </c>
      <c r="V2" s="4">
        <v>6256594300</v>
      </c>
      <c r="W2" s="4">
        <v>436337</v>
      </c>
      <c r="X2" s="4">
        <v>4312051900</v>
      </c>
      <c r="Y2" s="3">
        <v>68.900000000000006</v>
      </c>
      <c r="Z2" s="3">
        <v>18.13</v>
      </c>
      <c r="AA2" s="3">
        <v>18.64</v>
      </c>
      <c r="AB2" s="3">
        <v>17.13</v>
      </c>
      <c r="AC2" s="3">
        <v>3.26</v>
      </c>
      <c r="AD2" s="3">
        <v>3.53</v>
      </c>
      <c r="AE2" s="3">
        <v>4.8</v>
      </c>
      <c r="AF2" s="3">
        <v>3.46</v>
      </c>
      <c r="AG2" s="3">
        <v>0.97</v>
      </c>
      <c r="AH2" s="3">
        <v>0.92</v>
      </c>
      <c r="AI2" s="3">
        <v>21293.46</v>
      </c>
      <c r="AJ2" s="3">
        <v>1.49</v>
      </c>
      <c r="AK2" s="3">
        <v>3860.71</v>
      </c>
      <c r="AL2" s="3">
        <v>3647.77</v>
      </c>
      <c r="AM2" s="3">
        <v>17399.34</v>
      </c>
      <c r="AN2" s="3">
        <v>1.21</v>
      </c>
      <c r="AO2" s="3">
        <v>3154.66</v>
      </c>
      <c r="AP2" s="3">
        <v>2980.67</v>
      </c>
      <c r="AQ2" s="3">
        <v>14419.26</v>
      </c>
      <c r="AR2" s="3">
        <v>19124.759999999998</v>
      </c>
      <c r="AS2" s="3">
        <v>0.17</v>
      </c>
      <c r="AT2" s="3">
        <v>0.19</v>
      </c>
      <c r="AU2" s="4">
        <v>293827</v>
      </c>
      <c r="AV2" s="4">
        <v>127027</v>
      </c>
      <c r="AW2" s="3">
        <v>43.2</v>
      </c>
      <c r="AX2" s="4">
        <v>166800</v>
      </c>
      <c r="AY2" s="4">
        <v>0</v>
      </c>
      <c r="AZ2" s="4">
        <v>35633</v>
      </c>
      <c r="BA2" s="3">
        <v>12.1</v>
      </c>
      <c r="BB2" s="4">
        <v>34709400</v>
      </c>
      <c r="BC2" s="4">
        <v>361786</v>
      </c>
      <c r="BD2" s="4">
        <v>8124</v>
      </c>
      <c r="BE2" s="4">
        <v>59630</v>
      </c>
      <c r="BF2" s="3">
        <v>16.5</v>
      </c>
      <c r="BG2" s="4">
        <v>359588</v>
      </c>
      <c r="BH2" s="4">
        <v>359588</v>
      </c>
      <c r="BI2" s="4">
        <v>135264</v>
      </c>
      <c r="BJ2" s="4">
        <v>224324</v>
      </c>
      <c r="BK2" s="4">
        <v>8170</v>
      </c>
      <c r="BL2" s="3">
        <v>2.85</v>
      </c>
      <c r="BM2" s="3">
        <v>24.6</v>
      </c>
      <c r="BN2" s="4">
        <v>33203</v>
      </c>
      <c r="BO2" s="3">
        <v>5.4</v>
      </c>
      <c r="BP2" s="4">
        <v>25033</v>
      </c>
      <c r="BQ2" s="3">
        <v>7.64</v>
      </c>
      <c r="BR2" s="3">
        <v>75.400000000000006</v>
      </c>
      <c r="BS2" s="4">
        <v>3011</v>
      </c>
      <c r="BT2" s="3">
        <v>2.42</v>
      </c>
      <c r="BU2" s="3">
        <v>28.1</v>
      </c>
      <c r="BV2" s="4">
        <v>10720</v>
      </c>
      <c r="BW2" s="3">
        <v>3.59</v>
      </c>
      <c r="BX2" s="3">
        <v>1.22</v>
      </c>
      <c r="BY2" s="3">
        <v>1.06</v>
      </c>
      <c r="BZ2" s="3">
        <v>1.34</v>
      </c>
      <c r="CA2" s="3">
        <v>10.83</v>
      </c>
      <c r="CB2" s="3">
        <v>33.54</v>
      </c>
      <c r="CC2" s="3">
        <v>8.85</v>
      </c>
      <c r="CD2" s="3">
        <v>27.41</v>
      </c>
      <c r="CE2" s="3">
        <v>2.46</v>
      </c>
      <c r="CF2" s="3">
        <v>10.94</v>
      </c>
    </row>
    <row r="3" spans="1:84">
      <c r="A3" s="1">
        <v>2022</v>
      </c>
      <c r="B3" t="s">
        <v>85</v>
      </c>
      <c r="C3" s="2">
        <v>44620</v>
      </c>
      <c r="D3" s="4">
        <v>1114985327</v>
      </c>
      <c r="E3" s="4">
        <v>1181273000</v>
      </c>
      <c r="F3" s="4">
        <v>0</v>
      </c>
      <c r="G3" s="4">
        <v>1181273000</v>
      </c>
      <c r="H3" s="3">
        <v>77699.97</v>
      </c>
      <c r="I3" s="4">
        <v>82304</v>
      </c>
      <c r="J3" s="4">
        <v>0</v>
      </c>
      <c r="K3" s="4">
        <v>82304</v>
      </c>
      <c r="L3" s="4">
        <v>1263925900</v>
      </c>
      <c r="M3" s="4">
        <v>372475800</v>
      </c>
      <c r="N3" s="4">
        <v>891450100</v>
      </c>
      <c r="O3" s="4">
        <v>361152600</v>
      </c>
      <c r="P3" s="4">
        <v>865535500</v>
      </c>
      <c r="Q3" s="4">
        <v>0</v>
      </c>
      <c r="R3" s="4">
        <v>7550000</v>
      </c>
      <c r="S3" s="4">
        <v>90202900</v>
      </c>
      <c r="T3" s="4">
        <v>-66287673</v>
      </c>
      <c r="U3" s="3">
        <v>-4604.03</v>
      </c>
      <c r="V3" s="4">
        <v>6627990200</v>
      </c>
      <c r="W3" s="4">
        <v>461799</v>
      </c>
      <c r="X3" s="4">
        <v>4516517500</v>
      </c>
      <c r="Y3" s="3">
        <v>68.099999999999994</v>
      </c>
      <c r="Z3" s="3">
        <v>17.82</v>
      </c>
      <c r="AA3" s="3">
        <v>18.41</v>
      </c>
      <c r="AB3" s="3">
        <v>16.82</v>
      </c>
      <c r="AC3" s="3">
        <v>1.93</v>
      </c>
      <c r="AD3" s="3">
        <v>1.91</v>
      </c>
      <c r="AE3" s="3">
        <v>2.2400000000000002</v>
      </c>
      <c r="AF3" s="3">
        <v>2.04</v>
      </c>
      <c r="AG3" s="3">
        <v>1.05</v>
      </c>
      <c r="AH3" s="3">
        <v>1.06</v>
      </c>
      <c r="AI3" s="3">
        <v>21576.54</v>
      </c>
      <c r="AJ3" s="3">
        <v>1.5</v>
      </c>
      <c r="AK3" s="3">
        <v>3845.48</v>
      </c>
      <c r="AL3" s="3">
        <v>3629.69</v>
      </c>
      <c r="AM3" s="3">
        <v>17352.259999999998</v>
      </c>
      <c r="AN3" s="3">
        <v>1.21</v>
      </c>
      <c r="AO3" s="3">
        <v>3092.6</v>
      </c>
      <c r="AP3" s="3">
        <v>2919.06</v>
      </c>
      <c r="AQ3" s="3">
        <v>14634.93</v>
      </c>
      <c r="AR3" s="3">
        <v>18978.36</v>
      </c>
      <c r="AS3" s="3">
        <v>0.17</v>
      </c>
      <c r="AT3" s="3">
        <v>0.19</v>
      </c>
      <c r="AU3" s="4">
        <v>307185</v>
      </c>
      <c r="AV3" s="4">
        <v>136475</v>
      </c>
      <c r="AW3" s="3">
        <v>44.4</v>
      </c>
      <c r="AX3" s="4">
        <v>170710</v>
      </c>
      <c r="AY3" s="4">
        <v>0</v>
      </c>
      <c r="AZ3" s="4">
        <v>38296</v>
      </c>
      <c r="BA3" s="3">
        <v>12.5</v>
      </c>
      <c r="BB3" s="4">
        <v>36729000</v>
      </c>
      <c r="BC3" s="4">
        <v>377966</v>
      </c>
      <c r="BD3" s="4">
        <v>8830</v>
      </c>
      <c r="BE3" s="4">
        <v>61929</v>
      </c>
      <c r="BF3" s="3">
        <v>16.399999999999999</v>
      </c>
      <c r="BG3" s="4">
        <v>381967</v>
      </c>
      <c r="BH3" s="4">
        <v>381967</v>
      </c>
      <c r="BI3" s="4">
        <v>144969</v>
      </c>
      <c r="BJ3" s="4">
        <v>236998</v>
      </c>
      <c r="BK3" s="4">
        <v>7974</v>
      </c>
      <c r="BL3" s="3">
        <v>1.29</v>
      </c>
      <c r="BM3" s="3">
        <v>23.2</v>
      </c>
      <c r="BN3" s="4">
        <v>34436</v>
      </c>
      <c r="BO3" s="3">
        <v>3.12</v>
      </c>
      <c r="BP3" s="4">
        <v>26462</v>
      </c>
      <c r="BQ3" s="3">
        <v>5.44</v>
      </c>
      <c r="BR3" s="3">
        <v>76.8</v>
      </c>
      <c r="BS3" s="4">
        <v>2947</v>
      </c>
      <c r="BT3" s="3">
        <v>0.62</v>
      </c>
      <c r="BU3" s="3">
        <v>26.5</v>
      </c>
      <c r="BV3" s="4">
        <v>11134</v>
      </c>
      <c r="BW3" s="3">
        <v>1.55</v>
      </c>
      <c r="BX3" s="3">
        <v>1.24</v>
      </c>
      <c r="BY3" s="3">
        <v>1.06</v>
      </c>
      <c r="BZ3" s="3">
        <v>1.39</v>
      </c>
      <c r="CA3" s="3">
        <v>11.09</v>
      </c>
      <c r="CB3" s="3">
        <v>34.31</v>
      </c>
      <c r="CC3" s="3">
        <v>8.92</v>
      </c>
      <c r="CD3" s="3">
        <v>27.59</v>
      </c>
      <c r="CE3" s="3">
        <v>2.68</v>
      </c>
      <c r="CF3" s="3">
        <v>10.8</v>
      </c>
    </row>
    <row r="4" spans="1:84">
      <c r="A4" s="1">
        <v>2022</v>
      </c>
      <c r="B4" t="s">
        <v>86</v>
      </c>
      <c r="C4" s="2">
        <v>44651</v>
      </c>
      <c r="D4" s="4">
        <v>1132117393</v>
      </c>
      <c r="E4" s="4">
        <v>1194800800</v>
      </c>
      <c r="F4" s="4">
        <v>0</v>
      </c>
      <c r="G4" s="4">
        <v>1194800800</v>
      </c>
      <c r="H4" s="3">
        <v>78904.36</v>
      </c>
      <c r="I4" s="4">
        <v>83271</v>
      </c>
      <c r="J4" s="4">
        <v>0</v>
      </c>
      <c r="K4" s="4">
        <v>83271</v>
      </c>
      <c r="L4" s="4">
        <v>1288627900</v>
      </c>
      <c r="M4" s="4">
        <v>433207200</v>
      </c>
      <c r="N4" s="4">
        <v>855420700</v>
      </c>
      <c r="O4" s="4">
        <v>420906800</v>
      </c>
      <c r="P4" s="4">
        <v>834468300</v>
      </c>
      <c r="Q4" s="4">
        <v>0</v>
      </c>
      <c r="R4" s="4">
        <v>4660000</v>
      </c>
      <c r="S4" s="4">
        <v>98487100</v>
      </c>
      <c r="T4" s="4">
        <v>-62683407</v>
      </c>
      <c r="U4" s="3">
        <v>-4366.6400000000003</v>
      </c>
      <c r="V4" s="4">
        <v>6267715600</v>
      </c>
      <c r="W4" s="4">
        <v>436811</v>
      </c>
      <c r="X4" s="4">
        <v>4034724800</v>
      </c>
      <c r="Y4" s="3">
        <v>64.400000000000006</v>
      </c>
      <c r="Z4" s="3">
        <v>19.059999999999999</v>
      </c>
      <c r="AA4" s="3">
        <v>19.82</v>
      </c>
      <c r="AB4" s="3">
        <v>18.059999999999999</v>
      </c>
      <c r="AC4" s="3">
        <v>1.1599999999999999</v>
      </c>
      <c r="AD4" s="3">
        <v>1.28</v>
      </c>
      <c r="AE4" s="3">
        <v>1.21</v>
      </c>
      <c r="AF4" s="3">
        <v>1.24</v>
      </c>
      <c r="AG4" s="3">
        <v>1.01</v>
      </c>
      <c r="AH4" s="3">
        <v>0.99</v>
      </c>
      <c r="AI4" s="3">
        <v>20223.66</v>
      </c>
      <c r="AJ4" s="3">
        <v>1.41</v>
      </c>
      <c r="AK4" s="3">
        <v>3855.19</v>
      </c>
      <c r="AL4" s="3">
        <v>3652.93</v>
      </c>
      <c r="AM4" s="3">
        <v>16552.310000000001</v>
      </c>
      <c r="AN4" s="3">
        <v>1.1499999999999999</v>
      </c>
      <c r="AO4" s="3">
        <v>3155.33</v>
      </c>
      <c r="AP4" s="3">
        <v>2989.79</v>
      </c>
      <c r="AQ4" s="4">
        <v>14233</v>
      </c>
      <c r="AR4" s="3">
        <v>18078.89</v>
      </c>
      <c r="AS4" s="3">
        <v>0.19</v>
      </c>
      <c r="AT4" s="3">
        <v>0.21</v>
      </c>
      <c r="AU4" s="4">
        <v>309920</v>
      </c>
      <c r="AV4" s="4">
        <v>148693</v>
      </c>
      <c r="AW4" s="4">
        <v>48</v>
      </c>
      <c r="AX4" s="4">
        <v>161227</v>
      </c>
      <c r="AY4" s="4">
        <v>0</v>
      </c>
      <c r="AZ4" s="4">
        <v>41993</v>
      </c>
      <c r="BA4" s="3">
        <v>13.5</v>
      </c>
      <c r="BB4" s="4">
        <v>32927400</v>
      </c>
      <c r="BC4" s="4">
        <v>369779</v>
      </c>
      <c r="BD4" s="4">
        <v>8809</v>
      </c>
      <c r="BE4" s="4">
        <v>50877</v>
      </c>
      <c r="BF4" s="3">
        <v>13.8</v>
      </c>
      <c r="BG4" s="4">
        <v>378661</v>
      </c>
      <c r="BH4" s="4">
        <v>378661</v>
      </c>
      <c r="BI4" s="4">
        <v>156638</v>
      </c>
      <c r="BJ4" s="4">
        <v>222023</v>
      </c>
      <c r="BK4" s="4">
        <v>7045</v>
      </c>
      <c r="BL4" s="3">
        <v>1.31</v>
      </c>
      <c r="BM4" s="3">
        <v>20.2</v>
      </c>
      <c r="BN4" s="4">
        <v>34851</v>
      </c>
      <c r="BO4" s="3">
        <v>2.73</v>
      </c>
      <c r="BP4" s="4">
        <v>27806</v>
      </c>
      <c r="BQ4" s="3">
        <v>3.77</v>
      </c>
      <c r="BR4" s="3">
        <v>79.8</v>
      </c>
      <c r="BS4" s="4">
        <v>2707</v>
      </c>
      <c r="BT4" s="3">
        <v>0.45</v>
      </c>
      <c r="BU4" s="3">
        <v>24.8</v>
      </c>
      <c r="BV4" s="4">
        <v>10930</v>
      </c>
      <c r="BW4" s="3">
        <v>1.05</v>
      </c>
      <c r="BX4" s="3">
        <v>1.22</v>
      </c>
      <c r="BY4" s="3">
        <v>1.05</v>
      </c>
      <c r="BZ4" s="3">
        <v>1.38</v>
      </c>
      <c r="CA4" s="3">
        <v>10.87</v>
      </c>
      <c r="CB4" s="3">
        <v>34.64</v>
      </c>
      <c r="CC4" s="3">
        <v>8.89</v>
      </c>
      <c r="CD4" s="3">
        <v>28.35</v>
      </c>
      <c r="CE4" s="3">
        <v>2.88</v>
      </c>
      <c r="CF4" s="3">
        <v>10.42</v>
      </c>
    </row>
    <row r="5" spans="1:84">
      <c r="A5" s="1">
        <v>2022</v>
      </c>
      <c r="B5" t="s">
        <v>87</v>
      </c>
      <c r="C5" s="2">
        <v>44681</v>
      </c>
      <c r="D5" s="3">
        <v>1185995505.2</v>
      </c>
      <c r="E5" s="4">
        <v>1262494200</v>
      </c>
      <c r="F5" s="4">
        <v>0</v>
      </c>
      <c r="G5" s="4">
        <v>1262494200</v>
      </c>
      <c r="H5" s="3">
        <v>82431.34</v>
      </c>
      <c r="I5" s="4">
        <v>87698</v>
      </c>
      <c r="J5" s="4">
        <v>0</v>
      </c>
      <c r="K5" s="4">
        <v>87698</v>
      </c>
      <c r="L5" s="4">
        <v>1460513700</v>
      </c>
      <c r="M5" s="4">
        <v>526641000</v>
      </c>
      <c r="N5" s="4">
        <v>933872700</v>
      </c>
      <c r="O5" s="4">
        <v>511930800</v>
      </c>
      <c r="P5" s="4">
        <v>912129800</v>
      </c>
      <c r="Q5" s="4">
        <v>0</v>
      </c>
      <c r="R5" s="4">
        <v>6020000</v>
      </c>
      <c r="S5" s="4">
        <v>204039500</v>
      </c>
      <c r="T5" s="3">
        <v>-76498694.799999997</v>
      </c>
      <c r="U5" s="3">
        <v>-5266.66</v>
      </c>
      <c r="V5" s="4">
        <v>6953570500</v>
      </c>
      <c r="W5" s="4">
        <v>482785</v>
      </c>
      <c r="X5" s="4">
        <v>4461505200</v>
      </c>
      <c r="Y5" s="3">
        <v>64.2</v>
      </c>
      <c r="Z5" s="3">
        <v>18.16</v>
      </c>
      <c r="AA5" s="3">
        <v>19.329999999999998</v>
      </c>
      <c r="AB5" s="3">
        <v>17.059999999999999</v>
      </c>
      <c r="AC5" s="3">
        <v>1.17</v>
      </c>
      <c r="AD5" s="3">
        <v>1.23</v>
      </c>
      <c r="AE5" s="3">
        <v>1.07</v>
      </c>
      <c r="AF5" s="3">
        <v>1.17</v>
      </c>
      <c r="AG5" s="3">
        <v>0.96</v>
      </c>
      <c r="AH5" s="3">
        <v>1.03</v>
      </c>
      <c r="AI5" s="3">
        <v>23264.1</v>
      </c>
      <c r="AJ5" s="3">
        <v>1.62</v>
      </c>
      <c r="AK5" s="3">
        <v>4223.84</v>
      </c>
      <c r="AL5" s="3">
        <v>3967.91</v>
      </c>
      <c r="AM5" s="3">
        <v>17778.88</v>
      </c>
      <c r="AN5" s="3">
        <v>1.23</v>
      </c>
      <c r="AO5" s="3">
        <v>3227.94</v>
      </c>
      <c r="AP5" s="3">
        <v>3032.35</v>
      </c>
      <c r="AQ5" s="3">
        <v>15743.4</v>
      </c>
      <c r="AR5" s="3">
        <v>18957.009999999998</v>
      </c>
      <c r="AS5" s="3">
        <v>0.21</v>
      </c>
      <c r="AT5" s="3">
        <v>0.21</v>
      </c>
      <c r="AU5" s="4">
        <v>298897</v>
      </c>
      <c r="AV5" s="4">
        <v>146408</v>
      </c>
      <c r="AW5" s="4">
        <v>49</v>
      </c>
      <c r="AX5" s="4">
        <v>152489</v>
      </c>
      <c r="AY5" s="4">
        <v>1</v>
      </c>
      <c r="AZ5" s="4">
        <v>45616</v>
      </c>
      <c r="BA5" s="3">
        <v>15.3</v>
      </c>
      <c r="BB5" s="4">
        <v>35884600</v>
      </c>
      <c r="BC5" s="4">
        <v>405584</v>
      </c>
      <c r="BD5" s="4">
        <v>10783</v>
      </c>
      <c r="BE5" s="4">
        <v>96084</v>
      </c>
      <c r="BF5" s="3">
        <v>23.7</v>
      </c>
      <c r="BG5" s="4">
        <v>391108</v>
      </c>
      <c r="BH5" s="4">
        <v>391114</v>
      </c>
      <c r="BI5" s="4">
        <v>157291</v>
      </c>
      <c r="BJ5" s="4">
        <v>233823</v>
      </c>
      <c r="BK5" s="4">
        <v>4173</v>
      </c>
      <c r="BL5" s="3">
        <v>0.65</v>
      </c>
      <c r="BM5" s="3">
        <v>13.5</v>
      </c>
      <c r="BN5" s="4">
        <v>30889</v>
      </c>
      <c r="BO5" s="3">
        <v>1.91</v>
      </c>
      <c r="BP5" s="4">
        <v>26716</v>
      </c>
      <c r="BQ5" s="3">
        <v>2.75</v>
      </c>
      <c r="BR5" s="3">
        <v>86.5</v>
      </c>
      <c r="BS5" s="4">
        <v>1635</v>
      </c>
      <c r="BT5" s="3">
        <v>0.37</v>
      </c>
      <c r="BU5" s="3">
        <v>16.7</v>
      </c>
      <c r="BV5" s="4">
        <v>9804</v>
      </c>
      <c r="BW5" s="3">
        <v>0.96</v>
      </c>
      <c r="BX5" s="3">
        <v>1.31</v>
      </c>
      <c r="BY5" s="3">
        <v>1.07</v>
      </c>
      <c r="BZ5" s="3">
        <v>1.53</v>
      </c>
      <c r="CA5" s="3">
        <v>12.66</v>
      </c>
      <c r="CB5" s="3">
        <v>39.89</v>
      </c>
      <c r="CC5" s="3">
        <v>9.68</v>
      </c>
      <c r="CD5" s="3">
        <v>30.49</v>
      </c>
      <c r="CE5" s="3">
        <v>3.86</v>
      </c>
      <c r="CF5" s="3">
        <v>10.59</v>
      </c>
    </row>
    <row r="6" spans="1:84">
      <c r="A6" s="1">
        <v>2022</v>
      </c>
      <c r="B6" t="s">
        <v>88</v>
      </c>
      <c r="C6" s="2">
        <v>44712</v>
      </c>
      <c r="D6" s="4">
        <v>682232963</v>
      </c>
      <c r="E6" s="4">
        <v>722698400</v>
      </c>
      <c r="F6" s="4">
        <v>0</v>
      </c>
      <c r="G6" s="4">
        <v>722698400</v>
      </c>
      <c r="H6" s="3">
        <v>46740.13</v>
      </c>
      <c r="I6" s="4">
        <v>49515</v>
      </c>
      <c r="J6" s="4">
        <v>0</v>
      </c>
      <c r="K6" s="4">
        <v>49515</v>
      </c>
      <c r="L6" s="4">
        <v>789046400</v>
      </c>
      <c r="M6" s="4">
        <v>286257100</v>
      </c>
      <c r="N6" s="4">
        <v>502789300</v>
      </c>
      <c r="O6" s="4">
        <v>278151900</v>
      </c>
      <c r="P6" s="4">
        <v>494463400</v>
      </c>
      <c r="Q6" s="4">
        <v>0</v>
      </c>
      <c r="R6" s="4">
        <v>2720000</v>
      </c>
      <c r="S6" s="4">
        <v>69068000</v>
      </c>
      <c r="T6" s="4">
        <v>-40465437</v>
      </c>
      <c r="U6" s="3">
        <v>-2774.87</v>
      </c>
      <c r="V6" s="4">
        <v>3676383100</v>
      </c>
      <c r="W6" s="4">
        <v>251905</v>
      </c>
      <c r="X6" s="4">
        <v>2342176500</v>
      </c>
      <c r="Y6" s="3">
        <v>63.7</v>
      </c>
      <c r="Z6" s="3">
        <v>19.66</v>
      </c>
      <c r="AA6" s="3">
        <v>20.8</v>
      </c>
      <c r="AB6" s="3">
        <v>18.559999999999999</v>
      </c>
      <c r="AC6" s="3">
        <v>0.6</v>
      </c>
      <c r="AD6" s="3">
        <v>0.64</v>
      </c>
      <c r="AE6" s="3">
        <v>0.72</v>
      </c>
      <c r="AF6" s="3">
        <v>0.69</v>
      </c>
      <c r="AG6" s="3">
        <v>0.59</v>
      </c>
      <c r="AH6" s="3">
        <v>0.55000000000000004</v>
      </c>
      <c r="AI6" s="3">
        <v>20973.51</v>
      </c>
      <c r="AJ6" s="3">
        <v>1.44</v>
      </c>
      <c r="AK6" s="3">
        <v>4122.9399999999996</v>
      </c>
      <c r="AL6" s="3">
        <v>3892.09</v>
      </c>
      <c r="AM6" s="3">
        <v>17055.59</v>
      </c>
      <c r="AN6" s="3">
        <v>1.17</v>
      </c>
      <c r="AO6" s="3">
        <v>3352.76</v>
      </c>
      <c r="AP6" s="3">
        <v>3165.04</v>
      </c>
      <c r="AQ6" s="3">
        <v>14738.21</v>
      </c>
      <c r="AR6" s="3">
        <v>18554.599999999999</v>
      </c>
      <c r="AS6" s="3">
        <v>0.21</v>
      </c>
      <c r="AT6" s="3">
        <v>0.21</v>
      </c>
      <c r="AU6" s="4">
        <v>175287</v>
      </c>
      <c r="AV6" s="4">
        <v>86065</v>
      </c>
      <c r="AW6" s="3">
        <v>49.1</v>
      </c>
      <c r="AX6" s="4">
        <v>89222</v>
      </c>
      <c r="AY6" s="4">
        <v>0</v>
      </c>
      <c r="AZ6" s="4">
        <v>21307</v>
      </c>
      <c r="BA6" s="3">
        <v>12.2</v>
      </c>
      <c r="BB6" s="4">
        <v>16021500</v>
      </c>
      <c r="BC6" s="4">
        <v>227899</v>
      </c>
      <c r="BD6" s="4">
        <v>5115</v>
      </c>
      <c r="BE6" s="4">
        <v>47622</v>
      </c>
      <c r="BF6" s="3">
        <v>20.9</v>
      </c>
      <c r="BG6" s="4">
        <v>215550</v>
      </c>
      <c r="BH6" s="4">
        <v>215553</v>
      </c>
      <c r="BI6" s="4">
        <v>89934</v>
      </c>
      <c r="BJ6" s="4">
        <v>125619</v>
      </c>
      <c r="BK6" s="4">
        <v>1767</v>
      </c>
      <c r="BL6" s="3">
        <v>0.28000000000000003</v>
      </c>
      <c r="BM6" s="3">
        <v>7.4</v>
      </c>
      <c r="BN6" s="4">
        <v>23892</v>
      </c>
      <c r="BO6" s="3">
        <v>1.27</v>
      </c>
      <c r="BP6" s="4">
        <v>22125</v>
      </c>
      <c r="BQ6" s="3">
        <v>1.79</v>
      </c>
      <c r="BR6" s="3">
        <v>92.6</v>
      </c>
      <c r="BS6" s="4">
        <v>1061</v>
      </c>
      <c r="BT6" s="3">
        <v>0.37</v>
      </c>
      <c r="BU6" s="4">
        <v>14</v>
      </c>
      <c r="BV6" s="4">
        <v>7578</v>
      </c>
      <c r="BW6" s="3">
        <v>0.84</v>
      </c>
      <c r="BX6" s="3">
        <v>1.23</v>
      </c>
      <c r="BY6" s="3">
        <v>1.04</v>
      </c>
      <c r="BZ6" s="3">
        <v>1.41</v>
      </c>
      <c r="CA6" s="3">
        <v>9.02</v>
      </c>
      <c r="CB6" s="3">
        <v>28.44</v>
      </c>
      <c r="CC6" s="3">
        <v>7.34</v>
      </c>
      <c r="CD6" s="3">
        <v>23.13</v>
      </c>
      <c r="CE6" s="3">
        <v>2.56</v>
      </c>
      <c r="CF6" s="3">
        <v>7.72</v>
      </c>
    </row>
    <row r="7" spans="1:84">
      <c r="A7" s="1">
        <v>2022</v>
      </c>
      <c r="B7" t="s">
        <v>89</v>
      </c>
      <c r="C7" s="2">
        <v>44742</v>
      </c>
      <c r="D7" s="3">
        <v>868643303.20000005</v>
      </c>
      <c r="E7" s="4">
        <v>912644500</v>
      </c>
      <c r="F7" s="4">
        <v>0</v>
      </c>
      <c r="G7" s="4">
        <v>912644500</v>
      </c>
      <c r="H7" s="3">
        <v>59113.59</v>
      </c>
      <c r="I7" s="4">
        <v>62070</v>
      </c>
      <c r="J7" s="4">
        <v>0</v>
      </c>
      <c r="K7" s="4">
        <v>62070</v>
      </c>
      <c r="L7" s="4">
        <v>919947600</v>
      </c>
      <c r="M7" s="4">
        <v>351600900</v>
      </c>
      <c r="N7" s="4">
        <v>568346700</v>
      </c>
      <c r="O7" s="4">
        <v>342286600</v>
      </c>
      <c r="P7" s="4">
        <v>558107700</v>
      </c>
      <c r="Q7" s="4">
        <v>0</v>
      </c>
      <c r="R7" s="4">
        <v>6250000</v>
      </c>
      <c r="S7" s="4">
        <v>13553100</v>
      </c>
      <c r="T7" s="3">
        <v>-44001196.799999997</v>
      </c>
      <c r="U7" s="3">
        <v>-2956.41</v>
      </c>
      <c r="V7" s="4">
        <v>3999842200</v>
      </c>
      <c r="W7" s="4">
        <v>272095</v>
      </c>
      <c r="X7" s="4">
        <v>2494224000</v>
      </c>
      <c r="Y7" s="3">
        <v>62.4</v>
      </c>
      <c r="Z7" s="3">
        <v>22.82</v>
      </c>
      <c r="AA7" s="3">
        <v>22.92</v>
      </c>
      <c r="AB7" s="3">
        <v>21.72</v>
      </c>
      <c r="AC7" s="3">
        <v>0.68</v>
      </c>
      <c r="AD7" s="3">
        <v>0.87</v>
      </c>
      <c r="AE7" s="3">
        <v>0.7</v>
      </c>
      <c r="AF7" s="3">
        <v>0.7</v>
      </c>
      <c r="AG7" s="3">
        <v>1.1299999999999999</v>
      </c>
      <c r="AH7" s="3">
        <v>1.1200000000000001</v>
      </c>
      <c r="AI7" s="3">
        <v>20240.48</v>
      </c>
      <c r="AJ7" s="3">
        <v>1.38</v>
      </c>
      <c r="AK7" s="3">
        <v>4618.2700000000004</v>
      </c>
      <c r="AL7" s="3">
        <v>4395.6099999999997</v>
      </c>
      <c r="AM7" s="3">
        <v>16594.509999999998</v>
      </c>
      <c r="AN7" s="3">
        <v>1.1299999999999999</v>
      </c>
      <c r="AO7" s="3">
        <v>3786.37</v>
      </c>
      <c r="AP7" s="3">
        <v>3603.82</v>
      </c>
      <c r="AQ7" s="3">
        <v>14412.61</v>
      </c>
      <c r="AR7" s="3">
        <v>18082.63</v>
      </c>
      <c r="AS7" s="3">
        <v>0.23</v>
      </c>
      <c r="AT7" s="3">
        <v>0.23</v>
      </c>
      <c r="AU7" s="4">
        <v>197616</v>
      </c>
      <c r="AV7" s="4">
        <v>99574</v>
      </c>
      <c r="AW7" s="3">
        <v>50.4</v>
      </c>
      <c r="AX7" s="4">
        <v>98042</v>
      </c>
      <c r="AY7" s="4">
        <v>0</v>
      </c>
      <c r="AZ7" s="4">
        <v>26955</v>
      </c>
      <c r="BA7" s="3">
        <v>13.6</v>
      </c>
      <c r="BB7" s="4">
        <v>19331200</v>
      </c>
      <c r="BC7" s="4">
        <v>239540</v>
      </c>
      <c r="BD7" s="4">
        <v>6335</v>
      </c>
      <c r="BE7" s="4">
        <v>35613</v>
      </c>
      <c r="BF7" s="3">
        <v>14.9</v>
      </c>
      <c r="BG7" s="4">
        <v>241034</v>
      </c>
      <c r="BH7" s="4">
        <v>241034</v>
      </c>
      <c r="BI7" s="4">
        <v>103886</v>
      </c>
      <c r="BJ7" s="4">
        <v>137148</v>
      </c>
      <c r="BK7" s="4">
        <v>1851</v>
      </c>
      <c r="BL7" s="3">
        <v>0.28999999999999998</v>
      </c>
      <c r="BM7" s="3">
        <v>7.8</v>
      </c>
      <c r="BN7" s="4">
        <v>23824</v>
      </c>
      <c r="BO7" s="3">
        <v>1.2</v>
      </c>
      <c r="BP7" s="4">
        <v>21973</v>
      </c>
      <c r="BQ7" s="3">
        <v>1.64</v>
      </c>
      <c r="BR7" s="3">
        <v>92.2</v>
      </c>
      <c r="BS7" s="4">
        <v>1178</v>
      </c>
      <c r="BT7" s="3">
        <v>0.28000000000000003</v>
      </c>
      <c r="BU7" s="3">
        <v>15.8</v>
      </c>
      <c r="BV7" s="4">
        <v>7464</v>
      </c>
      <c r="BW7" s="3">
        <v>0.73</v>
      </c>
      <c r="BX7" s="3">
        <v>1.22</v>
      </c>
      <c r="BY7" s="3">
        <v>1.04</v>
      </c>
      <c r="BZ7" s="3">
        <v>1.4</v>
      </c>
      <c r="CA7" s="3">
        <v>10.119999999999999</v>
      </c>
      <c r="CB7" s="3">
        <v>32.29</v>
      </c>
      <c r="CC7" s="3">
        <v>8.2899999999999991</v>
      </c>
      <c r="CD7" s="3">
        <v>26.48</v>
      </c>
      <c r="CE7" s="3">
        <v>3.16</v>
      </c>
      <c r="CF7" s="3">
        <v>8.73</v>
      </c>
    </row>
    <row r="8" spans="1:84">
      <c r="A8" s="1">
        <v>2022</v>
      </c>
      <c r="B8" t="s">
        <v>90</v>
      </c>
      <c r="C8" s="2">
        <v>44773</v>
      </c>
      <c r="D8" s="3">
        <v>921265566.60000002</v>
      </c>
      <c r="E8" s="4">
        <v>966521100</v>
      </c>
      <c r="F8" s="4">
        <v>0</v>
      </c>
      <c r="G8" s="4">
        <v>966521100</v>
      </c>
      <c r="H8" s="3">
        <v>61506.37</v>
      </c>
      <c r="I8" s="4">
        <v>64561</v>
      </c>
      <c r="J8" s="4">
        <v>0</v>
      </c>
      <c r="K8" s="4">
        <v>64561</v>
      </c>
      <c r="L8" s="4">
        <v>974506500</v>
      </c>
      <c r="M8" s="4">
        <v>366057100</v>
      </c>
      <c r="N8" s="4">
        <v>608449400</v>
      </c>
      <c r="O8" s="4">
        <v>356730500</v>
      </c>
      <c r="P8" s="4">
        <v>596756500</v>
      </c>
      <c r="Q8" s="4">
        <v>0</v>
      </c>
      <c r="R8" s="4">
        <v>5970000</v>
      </c>
      <c r="S8" s="4">
        <v>13955400</v>
      </c>
      <c r="T8" s="3">
        <v>-45255533.399999999</v>
      </c>
      <c r="U8" s="3">
        <v>-3054.63</v>
      </c>
      <c r="V8" s="4">
        <v>4184896100</v>
      </c>
      <c r="W8" s="4">
        <v>279532</v>
      </c>
      <c r="X8" s="4">
        <v>2659226300</v>
      </c>
      <c r="Y8" s="3">
        <v>63.5</v>
      </c>
      <c r="Z8" s="3">
        <v>23.1</v>
      </c>
      <c r="AA8" s="3">
        <v>23.1</v>
      </c>
      <c r="AB8" s="3">
        <v>22.01</v>
      </c>
      <c r="AC8" s="3">
        <v>0.48</v>
      </c>
      <c r="AD8" s="3">
        <v>0.65</v>
      </c>
      <c r="AE8" s="3">
        <v>0.46</v>
      </c>
      <c r="AF8" s="3">
        <v>0.48</v>
      </c>
      <c r="AG8" s="3">
        <v>1.02</v>
      </c>
      <c r="AH8" s="3">
        <v>1.04</v>
      </c>
      <c r="AI8" s="3">
        <v>20771.7</v>
      </c>
      <c r="AJ8" s="3">
        <v>1.39</v>
      </c>
      <c r="AK8" s="3">
        <v>4797.32</v>
      </c>
      <c r="AL8" s="3">
        <v>4572.7</v>
      </c>
      <c r="AM8" s="3">
        <v>16621.240000000002</v>
      </c>
      <c r="AN8" s="3">
        <v>1.1100000000000001</v>
      </c>
      <c r="AO8" s="3">
        <v>3838.75</v>
      </c>
      <c r="AP8" s="3">
        <v>3659.01</v>
      </c>
      <c r="AQ8" s="3">
        <v>14597.26</v>
      </c>
      <c r="AR8" s="3">
        <v>17868.64</v>
      </c>
      <c r="AS8" s="3">
        <v>0.24</v>
      </c>
      <c r="AT8" s="3">
        <v>0.23</v>
      </c>
      <c r="AU8" s="4">
        <v>201471</v>
      </c>
      <c r="AV8" s="4">
        <v>99488</v>
      </c>
      <c r="AW8" s="3">
        <v>49.4</v>
      </c>
      <c r="AX8" s="4">
        <v>101983</v>
      </c>
      <c r="AY8" s="4">
        <v>0</v>
      </c>
      <c r="AZ8" s="4">
        <v>29272</v>
      </c>
      <c r="BA8" s="3">
        <v>14.5</v>
      </c>
      <c r="BB8" s="4">
        <v>20804500</v>
      </c>
      <c r="BC8" s="4">
        <v>248459</v>
      </c>
      <c r="BD8" s="4">
        <v>6769</v>
      </c>
      <c r="BE8" s="4">
        <v>40116</v>
      </c>
      <c r="BF8" s="3">
        <v>16.100000000000001</v>
      </c>
      <c r="BG8" s="4">
        <v>251780</v>
      </c>
      <c r="BH8" s="4">
        <v>251780</v>
      </c>
      <c r="BI8" s="4">
        <v>103909</v>
      </c>
      <c r="BJ8" s="4">
        <v>147871</v>
      </c>
      <c r="BK8" s="4">
        <v>1757</v>
      </c>
      <c r="BL8" s="3">
        <v>0.14000000000000001</v>
      </c>
      <c r="BM8" s="3">
        <v>7.5</v>
      </c>
      <c r="BN8" s="4">
        <v>23507</v>
      </c>
      <c r="BO8" s="3">
        <v>0.81</v>
      </c>
      <c r="BP8" s="4">
        <v>21750</v>
      </c>
      <c r="BQ8" s="3">
        <v>1.32</v>
      </c>
      <c r="BR8" s="3">
        <v>92.5</v>
      </c>
      <c r="BS8" s="4">
        <v>974</v>
      </c>
      <c r="BT8" s="3">
        <v>0.13</v>
      </c>
      <c r="BU8" s="3">
        <v>14.3</v>
      </c>
      <c r="BV8" s="4">
        <v>6832</v>
      </c>
      <c r="BW8" s="3">
        <v>0.46</v>
      </c>
      <c r="BX8" s="3">
        <v>1.25</v>
      </c>
      <c r="BY8" s="3">
        <v>1.04</v>
      </c>
      <c r="BZ8" s="3">
        <v>1.45</v>
      </c>
      <c r="CA8" s="3">
        <v>10.71</v>
      </c>
      <c r="CB8" s="3">
        <v>36.85</v>
      </c>
      <c r="CC8" s="3">
        <v>8.57</v>
      </c>
      <c r="CD8" s="3">
        <v>29.49</v>
      </c>
      <c r="CE8" s="3">
        <v>3.1</v>
      </c>
      <c r="CF8" s="3">
        <v>9.01</v>
      </c>
    </row>
    <row r="9" spans="1:84">
      <c r="A9" s="1">
        <v>2022</v>
      </c>
      <c r="B9" t="s">
        <v>91</v>
      </c>
      <c r="C9" s="2">
        <v>44804</v>
      </c>
      <c r="D9" s="3">
        <v>955420360.89999998</v>
      </c>
      <c r="E9" s="4">
        <v>1003200600</v>
      </c>
      <c r="F9" s="4">
        <v>0</v>
      </c>
      <c r="G9" s="4">
        <v>1003200600</v>
      </c>
      <c r="H9" s="3">
        <v>64416.94</v>
      </c>
      <c r="I9" s="4">
        <v>67636</v>
      </c>
      <c r="J9" s="4">
        <v>0</v>
      </c>
      <c r="K9" s="4">
        <v>67636</v>
      </c>
      <c r="L9" s="4">
        <v>1013097200</v>
      </c>
      <c r="M9" s="4">
        <v>359027400</v>
      </c>
      <c r="N9" s="4">
        <v>654069800</v>
      </c>
      <c r="O9" s="4">
        <v>350102300</v>
      </c>
      <c r="P9" s="4">
        <v>629628900</v>
      </c>
      <c r="Q9" s="4">
        <v>0</v>
      </c>
      <c r="R9" s="4">
        <v>5030000</v>
      </c>
      <c r="S9" s="4">
        <v>14926600</v>
      </c>
      <c r="T9" s="3">
        <v>-47780239.100000001</v>
      </c>
      <c r="U9" s="3">
        <v>-3219.06</v>
      </c>
      <c r="V9" s="4">
        <v>4339178900</v>
      </c>
      <c r="W9" s="4">
        <v>292554</v>
      </c>
      <c r="X9" s="4">
        <v>2842007300</v>
      </c>
      <c r="Y9" s="3">
        <v>65.5</v>
      </c>
      <c r="Z9" s="3">
        <v>23.12</v>
      </c>
      <c r="AA9" s="3">
        <v>23.12</v>
      </c>
      <c r="AB9" s="3">
        <v>22.02</v>
      </c>
      <c r="AC9" s="3">
        <v>0.52</v>
      </c>
      <c r="AD9" s="3">
        <v>0.75</v>
      </c>
      <c r="AE9" s="3">
        <v>0.46</v>
      </c>
      <c r="AF9" s="3">
        <v>0.51</v>
      </c>
      <c r="AG9" s="4">
        <v>1</v>
      </c>
      <c r="AH9" s="3">
        <v>1.04</v>
      </c>
      <c r="AI9" s="3">
        <v>21448.7</v>
      </c>
      <c r="AJ9" s="3">
        <v>1.45</v>
      </c>
      <c r="AK9" s="3">
        <v>4958.8500000000004</v>
      </c>
      <c r="AL9" s="3">
        <v>4722.67</v>
      </c>
      <c r="AM9" s="3">
        <v>16556.32</v>
      </c>
      <c r="AN9" s="3">
        <v>1.1200000000000001</v>
      </c>
      <c r="AO9" s="3">
        <v>3827.75</v>
      </c>
      <c r="AP9" s="3">
        <v>3645.45</v>
      </c>
      <c r="AQ9" s="3">
        <v>14437.2</v>
      </c>
      <c r="AR9" s="3">
        <v>17679.86</v>
      </c>
      <c r="AS9" s="3">
        <v>0.24</v>
      </c>
      <c r="AT9" s="3">
        <v>0.22</v>
      </c>
      <c r="AU9" s="4">
        <v>202305</v>
      </c>
      <c r="AV9" s="4">
        <v>98409</v>
      </c>
      <c r="AW9" s="3">
        <v>48.6</v>
      </c>
      <c r="AX9" s="4">
        <v>103896</v>
      </c>
      <c r="AY9" s="4">
        <v>0</v>
      </c>
      <c r="AZ9" s="4">
        <v>33156</v>
      </c>
      <c r="BA9" s="3">
        <v>16.399999999999999</v>
      </c>
      <c r="BB9" s="4">
        <v>33174200</v>
      </c>
      <c r="BC9" s="4">
        <v>245708</v>
      </c>
      <c r="BD9" s="4">
        <v>6472</v>
      </c>
      <c r="BE9" s="4">
        <v>36894</v>
      </c>
      <c r="BF9" s="4">
        <v>15</v>
      </c>
      <c r="BG9" s="4">
        <v>262086</v>
      </c>
      <c r="BH9" s="4">
        <v>262086</v>
      </c>
      <c r="BI9" s="4">
        <v>103045</v>
      </c>
      <c r="BJ9" s="4">
        <v>159041</v>
      </c>
      <c r="BK9" s="4">
        <v>1604</v>
      </c>
      <c r="BL9" s="3">
        <v>0.12</v>
      </c>
      <c r="BM9" s="3">
        <v>7.1</v>
      </c>
      <c r="BN9" s="4">
        <v>22471</v>
      </c>
      <c r="BO9" s="3">
        <v>0.65</v>
      </c>
      <c r="BP9" s="4">
        <v>20867</v>
      </c>
      <c r="BQ9" s="3">
        <v>0.96</v>
      </c>
      <c r="BR9" s="3">
        <v>92.9</v>
      </c>
      <c r="BS9" s="4">
        <v>1142</v>
      </c>
      <c r="BT9" s="3">
        <v>0.18</v>
      </c>
      <c r="BU9" s="3">
        <v>17.100000000000001</v>
      </c>
      <c r="BV9" s="4">
        <v>6681</v>
      </c>
      <c r="BW9" s="3">
        <v>0.43</v>
      </c>
      <c r="BX9" s="3">
        <v>1.3</v>
      </c>
      <c r="BY9" s="3">
        <v>1.05</v>
      </c>
      <c r="BZ9" s="3">
        <v>1.53</v>
      </c>
      <c r="CA9" s="3">
        <v>11.66</v>
      </c>
      <c r="CB9" s="3">
        <v>39.229999999999997</v>
      </c>
      <c r="CC9" s="4">
        <v>9</v>
      </c>
      <c r="CD9" s="3">
        <v>30.28</v>
      </c>
      <c r="CE9" s="3">
        <v>3.62</v>
      </c>
      <c r="CF9" s="3">
        <v>9.42</v>
      </c>
    </row>
    <row r="10" spans="1:84">
      <c r="A10" s="1">
        <v>2022</v>
      </c>
      <c r="B10" t="s">
        <v>92</v>
      </c>
      <c r="C10" s="2">
        <v>44834</v>
      </c>
      <c r="D10" s="4">
        <v>911516016</v>
      </c>
      <c r="E10" s="4">
        <v>959426000</v>
      </c>
      <c r="F10" s="4">
        <v>0</v>
      </c>
      <c r="G10" s="4">
        <v>959426000</v>
      </c>
      <c r="H10" s="3">
        <v>60838.96</v>
      </c>
      <c r="I10" s="4">
        <v>64029</v>
      </c>
      <c r="J10" s="4">
        <v>0</v>
      </c>
      <c r="K10" s="4">
        <v>64029</v>
      </c>
      <c r="L10" s="4">
        <v>968178000</v>
      </c>
      <c r="M10" s="4">
        <v>332818400</v>
      </c>
      <c r="N10" s="4">
        <v>635359600</v>
      </c>
      <c r="O10" s="4">
        <v>324931000</v>
      </c>
      <c r="P10" s="4">
        <v>598936300</v>
      </c>
      <c r="Q10" s="4">
        <v>0</v>
      </c>
      <c r="R10" s="4">
        <v>3630000</v>
      </c>
      <c r="S10" s="4">
        <v>12382000</v>
      </c>
      <c r="T10" s="4">
        <v>-47909984</v>
      </c>
      <c r="U10" s="3">
        <v>-3190.04</v>
      </c>
      <c r="V10" s="4">
        <v>4354394000</v>
      </c>
      <c r="W10" s="4">
        <v>290544</v>
      </c>
      <c r="X10" s="4">
        <v>2900216100</v>
      </c>
      <c r="Y10" s="3">
        <v>66.599999999999994</v>
      </c>
      <c r="Z10" s="3">
        <v>22.03</v>
      </c>
      <c r="AA10" s="3">
        <v>22.03</v>
      </c>
      <c r="AB10" s="3">
        <v>20.93</v>
      </c>
      <c r="AC10" s="3">
        <v>0.61</v>
      </c>
      <c r="AD10" s="3">
        <v>0.69</v>
      </c>
      <c r="AE10" s="3">
        <v>0.48</v>
      </c>
      <c r="AF10" s="3">
        <v>0.54</v>
      </c>
      <c r="AG10" s="3">
        <v>0.94</v>
      </c>
      <c r="AH10" s="3">
        <v>0.95</v>
      </c>
      <c r="AI10" s="3">
        <v>22980.76</v>
      </c>
      <c r="AJ10" s="3">
        <v>1.53</v>
      </c>
      <c r="AK10" s="3">
        <v>5063.47</v>
      </c>
      <c r="AL10" s="3">
        <v>4810.62</v>
      </c>
      <c r="AM10" s="3">
        <v>17576.89</v>
      </c>
      <c r="AN10" s="3">
        <v>1.17</v>
      </c>
      <c r="AO10" s="3">
        <v>3872.81</v>
      </c>
      <c r="AP10" s="3">
        <v>3679.41</v>
      </c>
      <c r="AQ10" s="3">
        <v>15519.35</v>
      </c>
      <c r="AR10" s="3">
        <v>18499.3</v>
      </c>
      <c r="AS10" s="3">
        <v>0.22</v>
      </c>
      <c r="AT10" s="3">
        <v>0.21</v>
      </c>
      <c r="AU10" s="4">
        <v>189480</v>
      </c>
      <c r="AV10" s="4">
        <v>89145</v>
      </c>
      <c r="AW10" s="4">
        <v>47</v>
      </c>
      <c r="AX10" s="4">
        <v>100335</v>
      </c>
      <c r="AY10" s="4">
        <v>0</v>
      </c>
      <c r="AZ10" s="4">
        <v>40081</v>
      </c>
      <c r="BA10" s="3">
        <v>21.2</v>
      </c>
      <c r="BB10" s="4">
        <v>44192700</v>
      </c>
      <c r="BC10" s="4">
        <v>228970</v>
      </c>
      <c r="BD10" s="4">
        <v>6115</v>
      </c>
      <c r="BE10" s="4">
        <v>33557</v>
      </c>
      <c r="BF10" s="3">
        <v>14.7</v>
      </c>
      <c r="BG10" s="4">
        <v>247732</v>
      </c>
      <c r="BH10" s="4">
        <v>247734</v>
      </c>
      <c r="BI10" s="4">
        <v>93182</v>
      </c>
      <c r="BJ10" s="4">
        <v>154552</v>
      </c>
      <c r="BK10" s="4">
        <v>1547</v>
      </c>
      <c r="BL10" s="3">
        <v>0.15</v>
      </c>
      <c r="BM10" s="3">
        <v>7.3</v>
      </c>
      <c r="BN10" s="4">
        <v>21305</v>
      </c>
      <c r="BO10" s="3">
        <v>0.6</v>
      </c>
      <c r="BP10" s="4">
        <v>19758</v>
      </c>
      <c r="BQ10" s="3">
        <v>0.8</v>
      </c>
      <c r="BR10" s="3">
        <v>92.7</v>
      </c>
      <c r="BS10" s="4">
        <v>1054</v>
      </c>
      <c r="BT10" s="3">
        <v>0.26</v>
      </c>
      <c r="BU10" s="3">
        <v>16.2</v>
      </c>
      <c r="BV10" s="4">
        <v>6525</v>
      </c>
      <c r="BW10" s="3">
        <v>0.49</v>
      </c>
      <c r="BX10" s="3">
        <v>1.31</v>
      </c>
      <c r="BY10" s="3">
        <v>1.05</v>
      </c>
      <c r="BZ10" s="3">
        <v>1.54</v>
      </c>
      <c r="CA10" s="3">
        <v>11.63</v>
      </c>
      <c r="CB10" s="3">
        <v>37.97</v>
      </c>
      <c r="CC10" s="3">
        <v>8.89</v>
      </c>
      <c r="CD10" s="3">
        <v>29.04</v>
      </c>
      <c r="CE10" s="3">
        <v>3.01</v>
      </c>
      <c r="CF10" s="3">
        <v>9.35</v>
      </c>
    </row>
    <row r="11" spans="1:84">
      <c r="A11" s="1">
        <v>2022</v>
      </c>
      <c r="B11" t="s">
        <v>93</v>
      </c>
      <c r="C11" s="2">
        <v>44865</v>
      </c>
      <c r="D11" s="4">
        <v>792247088</v>
      </c>
      <c r="E11" s="4">
        <v>837819384</v>
      </c>
      <c r="F11" s="4">
        <v>0</v>
      </c>
      <c r="G11" s="4">
        <v>837819384</v>
      </c>
      <c r="H11" s="3">
        <v>51424.09</v>
      </c>
      <c r="I11" s="4">
        <v>54372</v>
      </c>
      <c r="J11" s="4">
        <v>0</v>
      </c>
      <c r="K11" s="4">
        <v>54372</v>
      </c>
      <c r="L11" s="4">
        <v>875870800</v>
      </c>
      <c r="M11" s="4">
        <v>295909500</v>
      </c>
      <c r="N11" s="4">
        <v>579961300</v>
      </c>
      <c r="O11" s="4">
        <v>288409300</v>
      </c>
      <c r="P11" s="4">
        <v>540036640</v>
      </c>
      <c r="Q11" s="4">
        <v>0</v>
      </c>
      <c r="R11" s="4">
        <v>4310000</v>
      </c>
      <c r="S11" s="4">
        <v>42361416</v>
      </c>
      <c r="T11" s="4">
        <v>-45572296</v>
      </c>
      <c r="U11" s="3">
        <v>-2947.91</v>
      </c>
      <c r="V11" s="4">
        <v>4142522400</v>
      </c>
      <c r="W11" s="4">
        <v>268744</v>
      </c>
      <c r="X11" s="4">
        <v>2770514800</v>
      </c>
      <c r="Y11" s="3">
        <v>66.900000000000006</v>
      </c>
      <c r="Z11" s="3">
        <v>20.22</v>
      </c>
      <c r="AA11" s="3">
        <v>20.22</v>
      </c>
      <c r="AB11" s="3">
        <v>19.12</v>
      </c>
      <c r="AC11" s="3">
        <v>0.6</v>
      </c>
      <c r="AD11" s="3">
        <v>0.7</v>
      </c>
      <c r="AE11" s="3">
        <v>0.47</v>
      </c>
      <c r="AF11" s="3">
        <v>0.54</v>
      </c>
      <c r="AG11" s="3">
        <v>0.92</v>
      </c>
      <c r="AH11" s="3">
        <v>0.94</v>
      </c>
      <c r="AI11" s="3">
        <v>23695.93</v>
      </c>
      <c r="AJ11" s="3">
        <v>1.54</v>
      </c>
      <c r="AK11" s="3">
        <v>4792.47</v>
      </c>
      <c r="AL11" s="3">
        <v>4531.79</v>
      </c>
      <c r="AM11" s="3">
        <v>17866.330000000002</v>
      </c>
      <c r="AN11" s="3">
        <v>1.1599999999999999</v>
      </c>
      <c r="AO11" s="3">
        <v>3613.44</v>
      </c>
      <c r="AP11" s="3">
        <v>3416.89</v>
      </c>
      <c r="AQ11" s="3">
        <v>15789.15</v>
      </c>
      <c r="AR11" s="3">
        <v>18769.52</v>
      </c>
      <c r="AS11" s="3">
        <v>0.21</v>
      </c>
      <c r="AT11" s="3">
        <v>0.2</v>
      </c>
      <c r="AU11" s="4">
        <v>174820</v>
      </c>
      <c r="AV11" s="4">
        <v>83170</v>
      </c>
      <c r="AW11" s="3">
        <v>47.6</v>
      </c>
      <c r="AX11" s="4">
        <v>91650</v>
      </c>
      <c r="AY11" s="4">
        <v>0</v>
      </c>
      <c r="AZ11" s="4">
        <v>40729</v>
      </c>
      <c r="BA11" s="3">
        <v>23.3</v>
      </c>
      <c r="BB11" s="4">
        <v>47273200</v>
      </c>
      <c r="BC11" s="4">
        <v>215410</v>
      </c>
      <c r="BD11" s="4">
        <v>5673</v>
      </c>
      <c r="BE11" s="4">
        <v>34859</v>
      </c>
      <c r="BF11" s="3">
        <v>16.2</v>
      </c>
      <c r="BG11" s="4">
        <v>231832</v>
      </c>
      <c r="BH11" s="4">
        <v>231862</v>
      </c>
      <c r="BI11" s="4">
        <v>86473</v>
      </c>
      <c r="BJ11" s="4">
        <v>145389</v>
      </c>
      <c r="BK11" s="4">
        <v>1468</v>
      </c>
      <c r="BL11" s="3">
        <v>0.15</v>
      </c>
      <c r="BM11" s="3">
        <v>7.2</v>
      </c>
      <c r="BN11" s="4">
        <v>20509</v>
      </c>
      <c r="BO11" s="3">
        <v>0.57999999999999996</v>
      </c>
      <c r="BP11" s="4">
        <v>19041</v>
      </c>
      <c r="BQ11" s="3">
        <v>0.73</v>
      </c>
      <c r="BR11" s="3">
        <v>92.8</v>
      </c>
      <c r="BS11" s="4">
        <v>878</v>
      </c>
      <c r="BT11" s="3">
        <v>0.28999999999999998</v>
      </c>
      <c r="BU11" s="4">
        <v>14</v>
      </c>
      <c r="BV11" s="4">
        <v>6275</v>
      </c>
      <c r="BW11" s="3">
        <v>0.53</v>
      </c>
      <c r="BX11" s="3">
        <v>1.33</v>
      </c>
      <c r="BY11" s="3">
        <v>1.04</v>
      </c>
      <c r="BZ11" s="3">
        <v>1.59</v>
      </c>
      <c r="CA11" s="3">
        <v>11.31</v>
      </c>
      <c r="CB11" s="3">
        <v>36.950000000000003</v>
      </c>
      <c r="CC11" s="3">
        <v>8.52</v>
      </c>
      <c r="CD11" s="3">
        <v>27.86</v>
      </c>
      <c r="CE11" s="3">
        <v>2.78</v>
      </c>
      <c r="CF11" s="3">
        <v>8.9700000000000006</v>
      </c>
    </row>
    <row r="12" spans="1:84">
      <c r="A12" s="1">
        <v>2022</v>
      </c>
      <c r="B12" t="s">
        <v>94</v>
      </c>
      <c r="C12" s="2">
        <v>44895</v>
      </c>
      <c r="D12" s="4">
        <v>776225106</v>
      </c>
      <c r="E12" s="4">
        <v>818551037</v>
      </c>
      <c r="F12" s="4">
        <v>0</v>
      </c>
      <c r="G12" s="4">
        <v>818551037</v>
      </c>
      <c r="H12" s="3">
        <v>49625.56</v>
      </c>
      <c r="I12" s="4">
        <v>52338</v>
      </c>
      <c r="J12" s="4">
        <v>0</v>
      </c>
      <c r="K12" s="4">
        <v>52338</v>
      </c>
      <c r="L12" s="4">
        <v>823187557</v>
      </c>
      <c r="M12" s="4">
        <v>280629600</v>
      </c>
      <c r="N12" s="4">
        <v>542557957</v>
      </c>
      <c r="O12" s="4">
        <v>274129260</v>
      </c>
      <c r="P12" s="4">
        <v>510806280</v>
      </c>
      <c r="Q12" s="4">
        <v>0</v>
      </c>
      <c r="R12" s="4">
        <v>7484920</v>
      </c>
      <c r="S12" s="4">
        <v>12121440</v>
      </c>
      <c r="T12" s="4">
        <v>-42325931</v>
      </c>
      <c r="U12" s="3">
        <v>-2712.44</v>
      </c>
      <c r="V12" s="4">
        <v>3890309028</v>
      </c>
      <c r="W12" s="4">
        <v>248762</v>
      </c>
      <c r="X12" s="4">
        <v>2589102428</v>
      </c>
      <c r="Y12" s="3">
        <v>66.599999999999994</v>
      </c>
      <c r="Z12" s="3">
        <v>21.04</v>
      </c>
      <c r="AA12" s="3">
        <v>21.04</v>
      </c>
      <c r="AB12" s="3">
        <v>19.95</v>
      </c>
      <c r="AC12" s="3">
        <v>0.61</v>
      </c>
      <c r="AD12" s="3">
        <v>0.75</v>
      </c>
      <c r="AE12" s="3">
        <v>0.53</v>
      </c>
      <c r="AF12" s="3">
        <v>0.57999999999999996</v>
      </c>
      <c r="AG12" s="3">
        <v>0.95</v>
      </c>
      <c r="AH12" s="3">
        <v>0.95</v>
      </c>
      <c r="AI12" s="3">
        <v>23317.599999999999</v>
      </c>
      <c r="AJ12" s="3">
        <v>1.49</v>
      </c>
      <c r="AK12" s="3">
        <v>4906.2</v>
      </c>
      <c r="AL12" s="3">
        <v>4652.51</v>
      </c>
      <c r="AM12" s="3">
        <v>17645.849999999999</v>
      </c>
      <c r="AN12" s="3">
        <v>1.1299999999999999</v>
      </c>
      <c r="AO12" s="3">
        <v>3712.82</v>
      </c>
      <c r="AP12" s="3">
        <v>3520.84</v>
      </c>
      <c r="AQ12" s="3">
        <v>15648.81</v>
      </c>
      <c r="AR12" s="3">
        <v>18565.32</v>
      </c>
      <c r="AS12" s="3">
        <v>0.21</v>
      </c>
      <c r="AT12" s="3">
        <v>0.2</v>
      </c>
      <c r="AU12" s="4">
        <v>166840</v>
      </c>
      <c r="AV12" s="4">
        <v>79969</v>
      </c>
      <c r="AW12" s="3">
        <v>47.9</v>
      </c>
      <c r="AX12" s="4">
        <v>86871</v>
      </c>
      <c r="AY12" s="4">
        <v>0</v>
      </c>
      <c r="AZ12" s="4">
        <v>36794</v>
      </c>
      <c r="BA12" s="3">
        <v>22.1</v>
      </c>
      <c r="BB12" s="4">
        <v>38082800</v>
      </c>
      <c r="BC12" s="4">
        <v>208551</v>
      </c>
      <c r="BD12" s="4">
        <v>5163</v>
      </c>
      <c r="BE12" s="4">
        <v>36596</v>
      </c>
      <c r="BF12" s="3">
        <v>17.5</v>
      </c>
      <c r="BG12" s="4">
        <v>220466</v>
      </c>
      <c r="BH12" s="4">
        <v>220466</v>
      </c>
      <c r="BI12" s="4">
        <v>82781</v>
      </c>
      <c r="BJ12" s="4">
        <v>137685</v>
      </c>
      <c r="BK12" s="4">
        <v>1427</v>
      </c>
      <c r="BL12" s="3">
        <v>0.18</v>
      </c>
      <c r="BM12" s="3">
        <v>7.2</v>
      </c>
      <c r="BN12" s="4">
        <v>19856</v>
      </c>
      <c r="BO12" s="3">
        <v>0.6</v>
      </c>
      <c r="BP12" s="4">
        <v>18429</v>
      </c>
      <c r="BQ12" s="3">
        <v>0.73</v>
      </c>
      <c r="BR12" s="3">
        <v>92.8</v>
      </c>
      <c r="BS12" s="4">
        <v>881</v>
      </c>
      <c r="BT12" s="3">
        <v>0.28000000000000003</v>
      </c>
      <c r="BU12" s="3">
        <v>14.7</v>
      </c>
      <c r="BV12" s="4">
        <v>5976</v>
      </c>
      <c r="BW12" s="3">
        <v>0.54</v>
      </c>
      <c r="BX12" s="3">
        <v>1.32</v>
      </c>
      <c r="BY12" s="3">
        <v>1.04</v>
      </c>
      <c r="BZ12" s="3">
        <v>1.58</v>
      </c>
      <c r="CA12" s="3">
        <v>11.1</v>
      </c>
      <c r="CB12" s="3">
        <v>36.89</v>
      </c>
      <c r="CC12" s="3">
        <v>8.4</v>
      </c>
      <c r="CD12" s="3">
        <v>27.92</v>
      </c>
      <c r="CE12" s="3">
        <v>2.72</v>
      </c>
      <c r="CF12" s="3">
        <v>8.84</v>
      </c>
    </row>
    <row r="13" spans="1:84">
      <c r="A13" s="1">
        <v>2022</v>
      </c>
      <c r="B13" t="s">
        <v>95</v>
      </c>
      <c r="C13" s="2">
        <v>44926</v>
      </c>
      <c r="D13" s="4">
        <v>636093063</v>
      </c>
      <c r="E13" s="4">
        <v>686315832</v>
      </c>
      <c r="F13" s="4">
        <v>0</v>
      </c>
      <c r="G13" s="4">
        <v>686315832</v>
      </c>
      <c r="H13" s="3">
        <v>40942.25</v>
      </c>
      <c r="I13" s="4">
        <v>44166</v>
      </c>
      <c r="J13" s="4">
        <v>0</v>
      </c>
      <c r="K13" s="4">
        <v>44166</v>
      </c>
      <c r="L13" s="4">
        <v>1019166233</v>
      </c>
      <c r="M13" s="4">
        <v>346439900</v>
      </c>
      <c r="N13" s="4">
        <v>672726333</v>
      </c>
      <c r="O13" s="4">
        <v>338465600</v>
      </c>
      <c r="P13" s="4">
        <v>638676560</v>
      </c>
      <c r="Q13" s="4">
        <v>0</v>
      </c>
      <c r="R13" s="4">
        <v>10017860</v>
      </c>
      <c r="S13" s="4">
        <v>342868261</v>
      </c>
      <c r="T13" s="4">
        <v>-50222769</v>
      </c>
      <c r="U13" s="3">
        <v>-3223.75</v>
      </c>
      <c r="V13" s="4">
        <v>4616042720</v>
      </c>
      <c r="W13" s="4">
        <v>296244</v>
      </c>
      <c r="X13" s="4">
        <v>3094266820</v>
      </c>
      <c r="Y13" s="4">
        <v>67</v>
      </c>
      <c r="Z13" s="3">
        <v>14.87</v>
      </c>
      <c r="AA13" s="3">
        <v>14.87</v>
      </c>
      <c r="AB13" s="3">
        <v>13.78</v>
      </c>
      <c r="AC13" s="3">
        <v>0.66</v>
      </c>
      <c r="AD13" s="3">
        <v>0.54</v>
      </c>
      <c r="AE13" s="3">
        <v>0.63</v>
      </c>
      <c r="AF13" s="3">
        <v>0.64</v>
      </c>
      <c r="AG13" s="3">
        <v>1.1299999999999999</v>
      </c>
      <c r="AH13" s="3">
        <v>1.1299999999999999</v>
      </c>
      <c r="AI13" s="3">
        <v>24440.959999999999</v>
      </c>
      <c r="AJ13" s="3">
        <v>1.57</v>
      </c>
      <c r="AK13" s="3">
        <v>3633.9</v>
      </c>
      <c r="AL13" s="3">
        <v>3367.98</v>
      </c>
      <c r="AM13" s="3">
        <v>18534.23</v>
      </c>
      <c r="AN13" s="3">
        <v>1.19</v>
      </c>
      <c r="AO13" s="3">
        <v>2755.68</v>
      </c>
      <c r="AP13" s="3">
        <v>2554.0300000000002</v>
      </c>
      <c r="AQ13" s="3">
        <v>16291.81</v>
      </c>
      <c r="AR13" s="3">
        <v>19544.88</v>
      </c>
      <c r="AS13" s="3">
        <v>0.22</v>
      </c>
      <c r="AT13" s="3">
        <v>0.21</v>
      </c>
      <c r="AU13" s="4">
        <v>188865</v>
      </c>
      <c r="AV13" s="4">
        <v>87190</v>
      </c>
      <c r="AW13" s="3">
        <v>46.2</v>
      </c>
      <c r="AX13" s="4">
        <v>101675</v>
      </c>
      <c r="AY13" s="4">
        <v>0</v>
      </c>
      <c r="AZ13" s="4">
        <v>43800</v>
      </c>
      <c r="BA13" s="3">
        <v>23.2</v>
      </c>
      <c r="BB13" s="4">
        <v>41666500</v>
      </c>
      <c r="BC13" s="4">
        <v>246343</v>
      </c>
      <c r="BD13" s="4">
        <v>7955</v>
      </c>
      <c r="BE13" s="4">
        <v>49713</v>
      </c>
      <c r="BF13" s="3">
        <v>20.2</v>
      </c>
      <c r="BG13" s="4">
        <v>249055</v>
      </c>
      <c r="BH13" s="4">
        <v>249055</v>
      </c>
      <c r="BI13" s="4">
        <v>92699</v>
      </c>
      <c r="BJ13" s="4">
        <v>156356</v>
      </c>
      <c r="BK13" s="4">
        <v>1670</v>
      </c>
      <c r="BL13" s="3">
        <v>0.19</v>
      </c>
      <c r="BM13" s="3">
        <v>8.1</v>
      </c>
      <c r="BN13" s="4">
        <v>20594</v>
      </c>
      <c r="BO13" s="3">
        <v>0.61</v>
      </c>
      <c r="BP13" s="4">
        <v>18924</v>
      </c>
      <c r="BQ13" s="3">
        <v>0.75</v>
      </c>
      <c r="BR13" s="3">
        <v>91.9</v>
      </c>
      <c r="BS13" s="4">
        <v>1045</v>
      </c>
      <c r="BT13" s="3">
        <v>0.34</v>
      </c>
      <c r="BU13" s="3">
        <v>16.399999999999999</v>
      </c>
      <c r="BV13" s="4">
        <v>6375</v>
      </c>
      <c r="BW13" s="3">
        <v>0.59</v>
      </c>
      <c r="BX13" s="3">
        <v>1.32</v>
      </c>
      <c r="BY13" s="3">
        <v>1.06</v>
      </c>
      <c r="BZ13" s="3">
        <v>1.54</v>
      </c>
      <c r="CA13" s="3">
        <v>12.09</v>
      </c>
      <c r="CB13" s="3">
        <v>39.07</v>
      </c>
      <c r="CC13" s="3">
        <v>9.17</v>
      </c>
      <c r="CD13" s="3">
        <v>29.63</v>
      </c>
      <c r="CE13" s="3">
        <v>3.83</v>
      </c>
      <c r="CF13" s="3">
        <v>9.64</v>
      </c>
    </row>
    <row r="14" spans="1:84">
      <c r="A14" s="1">
        <v>2023</v>
      </c>
      <c r="B14" t="s">
        <v>84</v>
      </c>
      <c r="C14" s="2">
        <v>44957</v>
      </c>
      <c r="D14" s="4">
        <v>746930563</v>
      </c>
      <c r="E14" s="4">
        <v>789871637</v>
      </c>
      <c r="F14" s="4">
        <v>0</v>
      </c>
      <c r="G14" s="4">
        <v>789871637</v>
      </c>
      <c r="H14" s="3">
        <v>48987.08</v>
      </c>
      <c r="I14" s="4">
        <v>51820</v>
      </c>
      <c r="J14" s="4">
        <v>0</v>
      </c>
      <c r="K14" s="4">
        <v>51820</v>
      </c>
      <c r="L14" s="4">
        <v>835535726</v>
      </c>
      <c r="M14" s="4">
        <v>271301100</v>
      </c>
      <c r="N14" s="4">
        <v>564234626</v>
      </c>
      <c r="O14" s="4">
        <v>264872340</v>
      </c>
      <c r="P14" s="4">
        <v>531368840</v>
      </c>
      <c r="Q14" s="4">
        <v>0</v>
      </c>
      <c r="R14" s="4">
        <v>7290000</v>
      </c>
      <c r="S14" s="4">
        <v>52954089</v>
      </c>
      <c r="T14" s="4">
        <v>-42941074</v>
      </c>
      <c r="U14" s="3">
        <v>-2832.92</v>
      </c>
      <c r="V14" s="4">
        <v>3946786982</v>
      </c>
      <c r="W14" s="4">
        <v>259010</v>
      </c>
      <c r="X14" s="4">
        <v>2721065782</v>
      </c>
      <c r="Y14" s="3">
        <v>68.900000000000006</v>
      </c>
      <c r="Z14" s="3">
        <v>20.010000000000002</v>
      </c>
      <c r="AA14" s="3">
        <v>20.010000000000002</v>
      </c>
      <c r="AB14" s="3">
        <v>18.93</v>
      </c>
      <c r="AC14" s="3">
        <v>0.63</v>
      </c>
      <c r="AD14" s="3">
        <v>0.7</v>
      </c>
      <c r="AE14" s="3">
        <v>0.62</v>
      </c>
      <c r="AF14" s="3">
        <v>0.63</v>
      </c>
      <c r="AG14" s="3">
        <v>0.96</v>
      </c>
      <c r="AH14" s="3">
        <v>0.91</v>
      </c>
      <c r="AI14" s="3">
        <v>21798.95</v>
      </c>
      <c r="AJ14" s="3">
        <v>1.43</v>
      </c>
      <c r="AK14" s="3">
        <v>4362.63</v>
      </c>
      <c r="AL14" s="3">
        <v>4125.46</v>
      </c>
      <c r="AM14" s="3">
        <v>17382.36</v>
      </c>
      <c r="AN14" s="3">
        <v>1.1399999999999999</v>
      </c>
      <c r="AO14" s="3">
        <v>3478.74</v>
      </c>
      <c r="AP14" s="3">
        <v>3289.62</v>
      </c>
      <c r="AQ14" s="3">
        <v>15631.78</v>
      </c>
      <c r="AR14" s="3">
        <v>17957.8</v>
      </c>
      <c r="AS14" s="3">
        <v>0.22</v>
      </c>
      <c r="AT14" s="3">
        <v>0.2</v>
      </c>
      <c r="AU14" s="4">
        <v>181054</v>
      </c>
      <c r="AV14" s="4">
        <v>74542</v>
      </c>
      <c r="AW14" s="3">
        <v>41.2</v>
      </c>
      <c r="AX14" s="4">
        <v>106512</v>
      </c>
      <c r="AY14" s="4">
        <v>0</v>
      </c>
      <c r="AZ14" s="4">
        <v>53094</v>
      </c>
      <c r="BA14" s="3">
        <v>29.3</v>
      </c>
      <c r="BB14" s="4">
        <v>38825700</v>
      </c>
      <c r="BC14" s="4">
        <v>212362</v>
      </c>
      <c r="BD14" s="4">
        <v>5624</v>
      </c>
      <c r="BE14" s="4">
        <v>25445</v>
      </c>
      <c r="BF14" s="4">
        <v>12</v>
      </c>
      <c r="BG14" s="4">
        <v>227052</v>
      </c>
      <c r="BH14" s="4">
        <v>227057</v>
      </c>
      <c r="BI14" s="4">
        <v>77688</v>
      </c>
      <c r="BJ14" s="4">
        <v>149369</v>
      </c>
      <c r="BK14" s="4">
        <v>1154</v>
      </c>
      <c r="BL14" s="3">
        <v>0.14000000000000001</v>
      </c>
      <c r="BM14" s="3">
        <v>6.1</v>
      </c>
      <c r="BN14" s="4">
        <v>18885</v>
      </c>
      <c r="BO14" s="3">
        <v>0.56999999999999995</v>
      </c>
      <c r="BP14" s="4">
        <v>17731</v>
      </c>
      <c r="BQ14" s="3">
        <v>0.71</v>
      </c>
      <c r="BR14" s="3">
        <v>93.9</v>
      </c>
      <c r="BS14" s="4">
        <v>1362</v>
      </c>
      <c r="BT14" s="3">
        <v>0.45</v>
      </c>
      <c r="BU14" s="3">
        <v>20.7</v>
      </c>
      <c r="BV14" s="4">
        <v>6575</v>
      </c>
      <c r="BW14" s="3">
        <v>0.61</v>
      </c>
      <c r="BX14" s="3">
        <v>1.25</v>
      </c>
      <c r="BY14" s="3">
        <v>1.04</v>
      </c>
      <c r="BZ14" s="3">
        <v>1.4</v>
      </c>
      <c r="CA14" s="3">
        <v>12.02</v>
      </c>
      <c r="CB14" s="3">
        <v>34.53</v>
      </c>
      <c r="CC14" s="3">
        <v>9.59</v>
      </c>
      <c r="CD14" s="3">
        <v>27.54</v>
      </c>
      <c r="CE14" s="3">
        <v>2.83</v>
      </c>
      <c r="CF14" s="3">
        <v>10.029999999999999</v>
      </c>
    </row>
    <row r="15" spans="1:84">
      <c r="A15" s="1">
        <v>2023</v>
      </c>
      <c r="B15" t="s">
        <v>85</v>
      </c>
      <c r="C15" s="2">
        <v>44985</v>
      </c>
      <c r="D15" s="4">
        <v>696262165</v>
      </c>
      <c r="E15" s="4">
        <v>737399008</v>
      </c>
      <c r="F15" s="4">
        <v>0</v>
      </c>
      <c r="G15" s="4">
        <v>737399008</v>
      </c>
      <c r="H15" s="3">
        <v>45949.09</v>
      </c>
      <c r="I15" s="4">
        <v>48660</v>
      </c>
      <c r="J15" s="4">
        <v>0</v>
      </c>
      <c r="K15" s="4">
        <v>48660</v>
      </c>
      <c r="L15" s="4">
        <v>752820568</v>
      </c>
      <c r="M15" s="4">
        <v>236459300</v>
      </c>
      <c r="N15" s="4">
        <v>516361268</v>
      </c>
      <c r="O15" s="4">
        <v>231128400</v>
      </c>
      <c r="P15" s="4">
        <v>489755900</v>
      </c>
      <c r="Q15" s="4">
        <v>0</v>
      </c>
      <c r="R15" s="4">
        <v>6033000</v>
      </c>
      <c r="S15" s="4">
        <v>21454560</v>
      </c>
      <c r="T15" s="4">
        <v>-41136843</v>
      </c>
      <c r="U15" s="3">
        <v>-2710.91</v>
      </c>
      <c r="V15" s="4">
        <v>3780969830</v>
      </c>
      <c r="W15" s="4">
        <v>249507</v>
      </c>
      <c r="X15" s="4">
        <v>2703478730</v>
      </c>
      <c r="Y15" s="3">
        <v>71.5</v>
      </c>
      <c r="Z15" s="3">
        <v>19.5</v>
      </c>
      <c r="AA15" s="3">
        <v>19.5</v>
      </c>
      <c r="AB15" s="3">
        <v>18.41</v>
      </c>
      <c r="AC15" s="3">
        <v>0.56999999999999995</v>
      </c>
      <c r="AD15" s="3">
        <v>0.62</v>
      </c>
      <c r="AE15" s="3">
        <v>0.62</v>
      </c>
      <c r="AF15" s="3">
        <v>0.6</v>
      </c>
      <c r="AG15" s="3">
        <v>1.05</v>
      </c>
      <c r="AH15" s="3">
        <v>1.01</v>
      </c>
      <c r="AI15" s="3">
        <v>19951.189999999999</v>
      </c>
      <c r="AJ15" s="3">
        <v>1.32</v>
      </c>
      <c r="AK15" s="3">
        <v>3891.06</v>
      </c>
      <c r="AL15" s="3">
        <v>3673.99</v>
      </c>
      <c r="AM15" s="3">
        <v>16483.43</v>
      </c>
      <c r="AN15" s="3">
        <v>1.0900000000000001</v>
      </c>
      <c r="AO15" s="3">
        <v>3214.75</v>
      </c>
      <c r="AP15" s="3">
        <v>3035.41</v>
      </c>
      <c r="AQ15" s="3">
        <v>15458.99</v>
      </c>
      <c r="AR15" s="3">
        <v>16671.169999999998</v>
      </c>
      <c r="AS15" s="3">
        <v>0.22</v>
      </c>
      <c r="AT15" s="3">
        <v>0.18</v>
      </c>
      <c r="AU15" s="4">
        <v>189511</v>
      </c>
      <c r="AV15" s="4">
        <v>66884</v>
      </c>
      <c r="AW15" s="3">
        <v>35.299999999999997</v>
      </c>
      <c r="AX15" s="4">
        <v>122627</v>
      </c>
      <c r="AY15" s="4">
        <v>0</v>
      </c>
      <c r="AZ15" s="4">
        <v>42188</v>
      </c>
      <c r="BA15" s="3">
        <v>22.3</v>
      </c>
      <c r="BB15" s="4">
        <v>31843400</v>
      </c>
      <c r="BC15" s="4">
        <v>216884</v>
      </c>
      <c r="BD15" s="4">
        <v>4399</v>
      </c>
      <c r="BE15" s="4">
        <v>23001</v>
      </c>
      <c r="BF15" s="3">
        <v>10.6</v>
      </c>
      <c r="BG15" s="4">
        <v>229356</v>
      </c>
      <c r="BH15" s="4">
        <v>229380</v>
      </c>
      <c r="BI15" s="4">
        <v>69140</v>
      </c>
      <c r="BJ15" s="4">
        <v>160240</v>
      </c>
      <c r="BK15" s="4">
        <v>1060</v>
      </c>
      <c r="BL15" s="3">
        <v>0.13</v>
      </c>
      <c r="BM15" s="3">
        <v>5.9</v>
      </c>
      <c r="BN15" s="4">
        <v>17840</v>
      </c>
      <c r="BO15" s="3">
        <v>0.52</v>
      </c>
      <c r="BP15" s="4">
        <v>16780</v>
      </c>
      <c r="BQ15" s="3">
        <v>0.63</v>
      </c>
      <c r="BR15" s="3">
        <v>94.1</v>
      </c>
      <c r="BS15" s="4">
        <v>1306</v>
      </c>
      <c r="BT15" s="3">
        <v>0.44</v>
      </c>
      <c r="BU15" s="4">
        <v>20</v>
      </c>
      <c r="BV15" s="4">
        <v>6529</v>
      </c>
      <c r="BW15" s="3">
        <v>0.59</v>
      </c>
      <c r="BX15" s="3">
        <v>1.21</v>
      </c>
      <c r="BY15" s="3">
        <v>1.03</v>
      </c>
      <c r="BZ15" s="3">
        <v>1.31</v>
      </c>
      <c r="CA15" s="3">
        <v>12.86</v>
      </c>
      <c r="CB15" s="3">
        <v>35.130000000000003</v>
      </c>
      <c r="CC15" s="3">
        <v>10.62</v>
      </c>
      <c r="CD15" s="3">
        <v>29.03</v>
      </c>
      <c r="CE15" s="3">
        <v>2.69</v>
      </c>
      <c r="CF15" s="3">
        <v>11.12</v>
      </c>
    </row>
    <row r="16" spans="1:84">
      <c r="A16" s="1">
        <v>2023</v>
      </c>
      <c r="B16" t="s">
        <v>86</v>
      </c>
      <c r="C16" s="2">
        <v>45016</v>
      </c>
      <c r="D16" s="4">
        <v>820423300</v>
      </c>
      <c r="E16" s="4">
        <v>869455682</v>
      </c>
      <c r="F16" s="4">
        <v>0</v>
      </c>
      <c r="G16" s="4">
        <v>869455682</v>
      </c>
      <c r="H16" s="3">
        <v>53645.14</v>
      </c>
      <c r="I16" s="4">
        <v>56857</v>
      </c>
      <c r="J16" s="4">
        <v>0</v>
      </c>
      <c r="K16" s="4">
        <v>56857</v>
      </c>
      <c r="L16" s="4">
        <v>882445782</v>
      </c>
      <c r="M16" s="4">
        <v>274195980</v>
      </c>
      <c r="N16" s="4">
        <v>608249802</v>
      </c>
      <c r="O16" s="4">
        <v>262361960</v>
      </c>
      <c r="P16" s="4">
        <v>567226220</v>
      </c>
      <c r="Q16" s="4">
        <v>0</v>
      </c>
      <c r="R16" s="4">
        <v>7020000</v>
      </c>
      <c r="S16" s="4">
        <v>20010100</v>
      </c>
      <c r="T16" s="4">
        <v>-49032382</v>
      </c>
      <c r="U16" s="3">
        <v>-3211.86</v>
      </c>
      <c r="V16" s="4">
        <v>4506761481</v>
      </c>
      <c r="W16" s="4">
        <v>294708</v>
      </c>
      <c r="X16" s="4">
        <v>3277282601</v>
      </c>
      <c r="Y16" s="3">
        <v>72.7</v>
      </c>
      <c r="Z16" s="3">
        <v>19.29</v>
      </c>
      <c r="AA16" s="3">
        <v>19.309999999999999</v>
      </c>
      <c r="AB16" s="3">
        <v>18.2</v>
      </c>
      <c r="AC16" s="3">
        <v>0.72</v>
      </c>
      <c r="AD16" s="3">
        <v>0.73</v>
      </c>
      <c r="AE16" s="3">
        <v>0.77</v>
      </c>
      <c r="AF16" s="3">
        <v>0.74</v>
      </c>
      <c r="AG16" s="3">
        <v>1.25</v>
      </c>
      <c r="AH16" s="3">
        <v>1.23</v>
      </c>
      <c r="AI16" s="3">
        <v>18978.87</v>
      </c>
      <c r="AJ16" s="3">
        <v>1.24</v>
      </c>
      <c r="AK16" s="3">
        <v>3661.45</v>
      </c>
      <c r="AL16" s="3">
        <v>3454.97</v>
      </c>
      <c r="AM16" s="3">
        <v>16035.5</v>
      </c>
      <c r="AN16" s="3">
        <v>1.05</v>
      </c>
      <c r="AO16" s="3">
        <v>3093.61</v>
      </c>
      <c r="AP16" s="3">
        <v>2919.15</v>
      </c>
      <c r="AQ16" s="3">
        <v>15514.21</v>
      </c>
      <c r="AR16" s="3">
        <v>15958.26</v>
      </c>
      <c r="AS16" s="3">
        <v>0.22</v>
      </c>
      <c r="AT16" s="3">
        <v>0.18</v>
      </c>
      <c r="AU16" s="4">
        <v>237462</v>
      </c>
      <c r="AV16" s="4">
        <v>75949</v>
      </c>
      <c r="AW16" s="4">
        <v>32</v>
      </c>
      <c r="AX16" s="4">
        <v>161513</v>
      </c>
      <c r="AY16" s="4">
        <v>211</v>
      </c>
      <c r="AZ16" s="4">
        <v>27977</v>
      </c>
      <c r="BA16" s="3">
        <v>11.8</v>
      </c>
      <c r="BB16" s="4">
        <v>42960900</v>
      </c>
      <c r="BC16" s="4">
        <v>272284</v>
      </c>
      <c r="BD16" s="4">
        <v>5025</v>
      </c>
      <c r="BE16" s="4">
        <v>29987</v>
      </c>
      <c r="BF16" s="4">
        <v>11</v>
      </c>
      <c r="BG16" s="4">
        <v>280995</v>
      </c>
      <c r="BH16" s="4">
        <v>281049</v>
      </c>
      <c r="BI16" s="4">
        <v>78484</v>
      </c>
      <c r="BJ16" s="4">
        <v>202565</v>
      </c>
      <c r="BK16" s="4">
        <v>1170</v>
      </c>
      <c r="BL16" s="3">
        <v>0.17</v>
      </c>
      <c r="BM16" s="3">
        <v>6.4</v>
      </c>
      <c r="BN16" s="4">
        <v>18409</v>
      </c>
      <c r="BO16" s="3">
        <v>0.53</v>
      </c>
      <c r="BP16" s="4">
        <v>17239</v>
      </c>
      <c r="BQ16" s="3">
        <v>0.62</v>
      </c>
      <c r="BR16" s="3">
        <v>93.6</v>
      </c>
      <c r="BS16" s="4">
        <v>1484</v>
      </c>
      <c r="BT16" s="3">
        <v>0.55000000000000004</v>
      </c>
      <c r="BU16" s="3">
        <v>20.7</v>
      </c>
      <c r="BV16" s="4">
        <v>7153</v>
      </c>
      <c r="BW16" s="3">
        <v>0.65</v>
      </c>
      <c r="BX16" s="3">
        <v>1.18</v>
      </c>
      <c r="BY16" s="3">
        <v>1.03</v>
      </c>
      <c r="BZ16" s="3">
        <v>1.25</v>
      </c>
      <c r="CA16" s="3">
        <v>15.27</v>
      </c>
      <c r="CB16" s="3">
        <v>39.29</v>
      </c>
      <c r="CC16" s="3">
        <v>12.9</v>
      </c>
      <c r="CD16" s="3">
        <v>33.200000000000003</v>
      </c>
      <c r="CE16" s="3">
        <v>2.85</v>
      </c>
      <c r="CF16" s="3">
        <v>13.58</v>
      </c>
    </row>
    <row r="17" spans="1:84">
      <c r="A17" s="1">
        <v>2023</v>
      </c>
      <c r="B17" t="s">
        <v>87</v>
      </c>
      <c r="C17" s="2">
        <v>45046</v>
      </c>
      <c r="D17" s="4">
        <v>839960639</v>
      </c>
      <c r="E17" s="4">
        <v>886259989</v>
      </c>
      <c r="F17" s="4">
        <v>0</v>
      </c>
      <c r="G17" s="4">
        <v>886259989</v>
      </c>
      <c r="H17" s="3">
        <v>56439.56</v>
      </c>
      <c r="I17" s="4">
        <v>59569</v>
      </c>
      <c r="J17" s="4">
        <v>0</v>
      </c>
      <c r="K17" s="4">
        <v>59569</v>
      </c>
      <c r="L17" s="4">
        <v>896894289</v>
      </c>
      <c r="M17" s="4">
        <v>307514500</v>
      </c>
      <c r="N17" s="4">
        <v>589379789</v>
      </c>
      <c r="O17" s="4">
        <v>292360220</v>
      </c>
      <c r="P17" s="4">
        <v>558311300</v>
      </c>
      <c r="Q17" s="4">
        <v>0</v>
      </c>
      <c r="R17" s="4">
        <v>6250000</v>
      </c>
      <c r="S17" s="4">
        <v>16884300</v>
      </c>
      <c r="T17" s="4">
        <v>-46299350</v>
      </c>
      <c r="U17" s="3">
        <v>-3129.44</v>
      </c>
      <c r="V17" s="4">
        <v>4257220089</v>
      </c>
      <c r="W17" s="4">
        <v>286115</v>
      </c>
      <c r="X17" s="4">
        <v>2960456989</v>
      </c>
      <c r="Y17" s="3">
        <v>69.5</v>
      </c>
      <c r="Z17" s="3">
        <v>20.82</v>
      </c>
      <c r="AA17" s="3">
        <v>20.85</v>
      </c>
      <c r="AB17" s="3">
        <v>19.73</v>
      </c>
      <c r="AC17" s="3">
        <v>0.61</v>
      </c>
      <c r="AD17" s="3">
        <v>0.7</v>
      </c>
      <c r="AE17" s="3">
        <v>0.7</v>
      </c>
      <c r="AF17" s="3">
        <v>0.64</v>
      </c>
      <c r="AG17" s="3">
        <v>0.88</v>
      </c>
      <c r="AH17" s="3">
        <v>0.88</v>
      </c>
      <c r="AI17" s="3">
        <v>20457.86</v>
      </c>
      <c r="AJ17" s="3">
        <v>1.37</v>
      </c>
      <c r="AK17" s="3">
        <v>4258.88</v>
      </c>
      <c r="AL17" s="3">
        <v>4036.39</v>
      </c>
      <c r="AM17" s="3">
        <v>17151.41</v>
      </c>
      <c r="AN17" s="3">
        <v>1.1499999999999999</v>
      </c>
      <c r="AO17" s="3">
        <v>3570.55</v>
      </c>
      <c r="AP17" s="3">
        <v>3384.02</v>
      </c>
      <c r="AQ17" s="3">
        <v>17031.55</v>
      </c>
      <c r="AR17" s="3">
        <v>16933.38</v>
      </c>
      <c r="AS17" s="3">
        <v>0.23</v>
      </c>
      <c r="AT17" s="3">
        <v>0.19</v>
      </c>
      <c r="AU17" s="4">
        <v>208097</v>
      </c>
      <c r="AV17" s="4">
        <v>71004</v>
      </c>
      <c r="AW17" s="3">
        <v>34.1</v>
      </c>
      <c r="AX17" s="4">
        <v>137093</v>
      </c>
      <c r="AY17" s="4">
        <v>275</v>
      </c>
      <c r="AZ17" s="4">
        <v>22396</v>
      </c>
      <c r="BA17" s="3">
        <v>10.8</v>
      </c>
      <c r="BB17" s="4">
        <v>31951700</v>
      </c>
      <c r="BC17" s="4">
        <v>261173</v>
      </c>
      <c r="BD17" s="4">
        <v>6647</v>
      </c>
      <c r="BE17" s="4">
        <v>46415</v>
      </c>
      <c r="BF17" s="3">
        <v>17.8</v>
      </c>
      <c r="BG17" s="4">
        <v>248094</v>
      </c>
      <c r="BH17" s="4">
        <v>248214</v>
      </c>
      <c r="BI17" s="4">
        <v>75289</v>
      </c>
      <c r="BJ17" s="4">
        <v>172925</v>
      </c>
      <c r="BK17" s="4">
        <v>1175</v>
      </c>
      <c r="BL17" s="3">
        <v>0.28000000000000003</v>
      </c>
      <c r="BM17" s="3">
        <v>6.6</v>
      </c>
      <c r="BN17" s="4">
        <v>17768</v>
      </c>
      <c r="BO17" s="3">
        <v>0.57999999999999996</v>
      </c>
      <c r="BP17" s="4">
        <v>16593</v>
      </c>
      <c r="BQ17" s="3">
        <v>0.62</v>
      </c>
      <c r="BR17" s="3">
        <v>93.4</v>
      </c>
      <c r="BS17" s="4">
        <v>998</v>
      </c>
      <c r="BT17" s="3">
        <v>0.61</v>
      </c>
      <c r="BU17" s="3">
        <v>14.9</v>
      </c>
      <c r="BV17" s="4">
        <v>6712</v>
      </c>
      <c r="BW17" s="3">
        <v>0.69</v>
      </c>
      <c r="BX17" s="3">
        <v>1.19</v>
      </c>
      <c r="BY17" s="3">
        <v>1.06</v>
      </c>
      <c r="BZ17" s="3">
        <v>1.26</v>
      </c>
      <c r="CA17" s="3">
        <v>13.97</v>
      </c>
      <c r="CB17" s="3">
        <v>36.979999999999997</v>
      </c>
      <c r="CC17" s="3">
        <v>11.71</v>
      </c>
      <c r="CD17" s="4">
        <v>31</v>
      </c>
      <c r="CE17" s="3">
        <v>2.63</v>
      </c>
      <c r="CF17" s="3">
        <v>12.35</v>
      </c>
    </row>
    <row r="18" spans="1:84">
      <c r="A18" s="1">
        <v>2023</v>
      </c>
      <c r="B18" t="s">
        <v>88</v>
      </c>
      <c r="C18" s="2">
        <v>45077</v>
      </c>
      <c r="D18" s="4">
        <v>742951277</v>
      </c>
      <c r="E18" s="4">
        <v>784917335</v>
      </c>
      <c r="F18" s="4">
        <v>0</v>
      </c>
      <c r="G18" s="4">
        <v>784917335</v>
      </c>
      <c r="H18" s="3">
        <v>50081.71</v>
      </c>
      <c r="I18" s="4">
        <v>52902</v>
      </c>
      <c r="J18" s="4">
        <v>0</v>
      </c>
      <c r="K18" s="4">
        <v>52902</v>
      </c>
      <c r="L18" s="4">
        <v>802880355</v>
      </c>
      <c r="M18" s="4">
        <v>233677900</v>
      </c>
      <c r="N18" s="4">
        <v>569202455</v>
      </c>
      <c r="O18" s="4">
        <v>222029060</v>
      </c>
      <c r="P18" s="4">
        <v>535733380</v>
      </c>
      <c r="Q18" s="4">
        <v>0</v>
      </c>
      <c r="R18" s="4">
        <v>5100000</v>
      </c>
      <c r="S18" s="4">
        <v>23063020</v>
      </c>
      <c r="T18" s="4">
        <v>-41966058</v>
      </c>
      <c r="U18" s="3">
        <v>-2820.29</v>
      </c>
      <c r="V18" s="4">
        <v>4006410235</v>
      </c>
      <c r="W18" s="4">
        <v>270057</v>
      </c>
      <c r="X18" s="4">
        <v>3013641935</v>
      </c>
      <c r="Y18" s="3">
        <v>75.2</v>
      </c>
      <c r="Z18" s="3">
        <v>19.59</v>
      </c>
      <c r="AA18" s="3">
        <v>19.59</v>
      </c>
      <c r="AB18" s="3">
        <v>18.54</v>
      </c>
      <c r="AC18" s="3">
        <v>1.0900000000000001</v>
      </c>
      <c r="AD18" s="3">
        <v>1.0900000000000001</v>
      </c>
      <c r="AE18" s="3">
        <v>1.23</v>
      </c>
      <c r="AF18" s="3">
        <v>1.18</v>
      </c>
      <c r="AG18" s="3">
        <v>1.03</v>
      </c>
      <c r="AH18" s="3">
        <v>1.03</v>
      </c>
      <c r="AI18" s="3">
        <v>18624.759999999998</v>
      </c>
      <c r="AJ18" s="3">
        <v>1.26</v>
      </c>
      <c r="AK18" s="3">
        <v>3648.88</v>
      </c>
      <c r="AL18" s="3">
        <v>3453.79</v>
      </c>
      <c r="AM18" s="3">
        <v>15730.78</v>
      </c>
      <c r="AN18" s="3">
        <v>1.06</v>
      </c>
      <c r="AO18" s="3">
        <v>3081.9</v>
      </c>
      <c r="AP18" s="3">
        <v>2917.13</v>
      </c>
      <c r="AQ18" s="3">
        <v>15262.58</v>
      </c>
      <c r="AR18" s="3">
        <v>15644.03</v>
      </c>
      <c r="AS18" s="3">
        <v>0.23</v>
      </c>
      <c r="AT18" s="3">
        <v>0.18</v>
      </c>
      <c r="AU18" s="4">
        <v>215112</v>
      </c>
      <c r="AV18" s="4">
        <v>62507</v>
      </c>
      <c r="AW18" s="3">
        <v>29.1</v>
      </c>
      <c r="AX18" s="4">
        <v>152605</v>
      </c>
      <c r="AY18" s="4">
        <v>0</v>
      </c>
      <c r="AZ18" s="4">
        <v>19345</v>
      </c>
      <c r="BA18" s="4">
        <v>9</v>
      </c>
      <c r="BB18" s="4">
        <v>31698400</v>
      </c>
      <c r="BC18" s="4">
        <v>239311</v>
      </c>
      <c r="BD18" s="4">
        <v>3758</v>
      </c>
      <c r="BE18" s="4">
        <v>20339</v>
      </c>
      <c r="BF18" s="3">
        <v>8.5</v>
      </c>
      <c r="BG18" s="4">
        <v>254489</v>
      </c>
      <c r="BH18" s="4">
        <v>254686</v>
      </c>
      <c r="BI18" s="4">
        <v>64385</v>
      </c>
      <c r="BJ18" s="4">
        <v>190301</v>
      </c>
      <c r="BK18" s="4">
        <v>813</v>
      </c>
      <c r="BL18" s="3">
        <v>0.46</v>
      </c>
      <c r="BM18" s="3">
        <v>5.0999999999999996</v>
      </c>
      <c r="BN18" s="4">
        <v>15835</v>
      </c>
      <c r="BO18" s="3">
        <v>0.66</v>
      </c>
      <c r="BP18" s="4">
        <v>15022</v>
      </c>
      <c r="BQ18" s="3">
        <v>0.68</v>
      </c>
      <c r="BR18" s="3">
        <v>94.9</v>
      </c>
      <c r="BS18" s="4">
        <v>1317</v>
      </c>
      <c r="BT18" s="3">
        <v>1.24</v>
      </c>
      <c r="BU18" s="3">
        <v>19.7</v>
      </c>
      <c r="BV18" s="4">
        <v>6669</v>
      </c>
      <c r="BW18" s="3">
        <v>0.88</v>
      </c>
      <c r="BX18" s="3">
        <v>1.18</v>
      </c>
      <c r="BY18" s="3">
        <v>1.03</v>
      </c>
      <c r="BZ18" s="3">
        <v>1.25</v>
      </c>
      <c r="CA18" s="3">
        <v>16.079999999999998</v>
      </c>
      <c r="CB18" s="3">
        <v>38.19</v>
      </c>
      <c r="CC18" s="3">
        <v>13.58</v>
      </c>
      <c r="CD18" s="3">
        <v>32.26</v>
      </c>
      <c r="CE18" s="3">
        <v>2.65</v>
      </c>
      <c r="CF18" s="3">
        <v>14.18</v>
      </c>
    </row>
    <row r="19" spans="1:84">
      <c r="A19" s="1">
        <v>2023</v>
      </c>
      <c r="B19" t="s">
        <v>89</v>
      </c>
      <c r="C19" s="2">
        <v>45107</v>
      </c>
      <c r="D19" s="4">
        <v>777918135</v>
      </c>
      <c r="E19" s="4">
        <v>824408731</v>
      </c>
      <c r="F19" s="4">
        <v>0</v>
      </c>
      <c r="G19" s="4">
        <v>824408731</v>
      </c>
      <c r="H19" s="3">
        <v>52084.73</v>
      </c>
      <c r="I19" s="4">
        <v>55189</v>
      </c>
      <c r="J19" s="4">
        <v>0</v>
      </c>
      <c r="K19" s="4">
        <v>55189</v>
      </c>
      <c r="L19" s="4">
        <v>844662331</v>
      </c>
      <c r="M19" s="4">
        <v>241199800</v>
      </c>
      <c r="N19" s="4">
        <v>603462531</v>
      </c>
      <c r="O19" s="4">
        <v>228892680</v>
      </c>
      <c r="P19" s="4">
        <v>574553960</v>
      </c>
      <c r="Q19" s="4">
        <v>0</v>
      </c>
      <c r="R19" s="4">
        <v>6390000</v>
      </c>
      <c r="S19" s="4">
        <v>26643600</v>
      </c>
      <c r="T19" s="4">
        <v>-46490596</v>
      </c>
      <c r="U19" s="3">
        <v>-3104.27</v>
      </c>
      <c r="V19" s="4">
        <v>4272925231</v>
      </c>
      <c r="W19" s="4">
        <v>286010</v>
      </c>
      <c r="X19" s="4">
        <v>3296783231</v>
      </c>
      <c r="Y19" s="3">
        <v>77.2</v>
      </c>
      <c r="Z19" s="3">
        <v>19.29</v>
      </c>
      <c r="AA19" s="3">
        <v>19.29</v>
      </c>
      <c r="AB19" s="3">
        <v>18.21</v>
      </c>
      <c r="AC19" s="3">
        <v>1.07</v>
      </c>
      <c r="AD19" s="3">
        <v>0.9</v>
      </c>
      <c r="AE19" s="3">
        <v>1.23</v>
      </c>
      <c r="AF19" s="3">
        <v>1.17</v>
      </c>
      <c r="AG19" s="3">
        <v>1.1299999999999999</v>
      </c>
      <c r="AH19" s="3">
        <v>1.1100000000000001</v>
      </c>
      <c r="AI19" s="3">
        <v>17540.669999999998</v>
      </c>
      <c r="AJ19" s="3">
        <v>1.17</v>
      </c>
      <c r="AK19" s="3">
        <v>3384.26</v>
      </c>
      <c r="AL19" s="3">
        <v>3193.41</v>
      </c>
      <c r="AM19" s="3">
        <v>15178.27</v>
      </c>
      <c r="AN19" s="3">
        <v>1.02</v>
      </c>
      <c r="AO19" s="3">
        <v>2928.46</v>
      </c>
      <c r="AP19" s="3">
        <v>2763.32</v>
      </c>
      <c r="AQ19" s="3">
        <v>15275.61</v>
      </c>
      <c r="AR19" s="3">
        <v>14951.93</v>
      </c>
      <c r="AS19" s="3">
        <v>0.24</v>
      </c>
      <c r="AT19" s="3">
        <v>0.18</v>
      </c>
      <c r="AU19" s="4">
        <v>243601</v>
      </c>
      <c r="AV19" s="4">
        <v>61172</v>
      </c>
      <c r="AW19" s="3">
        <v>25.1</v>
      </c>
      <c r="AX19" s="4">
        <v>182429</v>
      </c>
      <c r="AY19" s="4">
        <v>0</v>
      </c>
      <c r="AZ19" s="4">
        <v>19648</v>
      </c>
      <c r="BA19" s="3">
        <v>8.1</v>
      </c>
      <c r="BB19" s="4">
        <v>26550700</v>
      </c>
      <c r="BC19" s="4">
        <v>265991</v>
      </c>
      <c r="BD19" s="4">
        <v>3587</v>
      </c>
      <c r="BE19" s="4">
        <v>18767</v>
      </c>
      <c r="BF19" s="3">
        <v>7.1</v>
      </c>
      <c r="BG19" s="4">
        <v>281311</v>
      </c>
      <c r="BH19" s="4">
        <v>281516</v>
      </c>
      <c r="BI19" s="4">
        <v>63159</v>
      </c>
      <c r="BJ19" s="4">
        <v>218357</v>
      </c>
      <c r="BK19" s="4">
        <v>905</v>
      </c>
      <c r="BL19" s="3">
        <v>0.49</v>
      </c>
      <c r="BM19" s="3">
        <v>5.9</v>
      </c>
      <c r="BN19" s="4">
        <v>15346</v>
      </c>
      <c r="BO19" s="3">
        <v>0.64</v>
      </c>
      <c r="BP19" s="4">
        <v>14441</v>
      </c>
      <c r="BQ19" s="3">
        <v>0.66</v>
      </c>
      <c r="BR19" s="3">
        <v>94.1</v>
      </c>
      <c r="BS19" s="4">
        <v>1605</v>
      </c>
      <c r="BT19" s="3">
        <v>1.36</v>
      </c>
      <c r="BU19" s="3">
        <v>22.3</v>
      </c>
      <c r="BV19" s="4">
        <v>7205</v>
      </c>
      <c r="BW19" s="3">
        <v>0.97</v>
      </c>
      <c r="BX19" s="3">
        <v>1.1599999999999999</v>
      </c>
      <c r="BY19" s="3">
        <v>1.03</v>
      </c>
      <c r="BZ19" s="3">
        <v>1.2</v>
      </c>
      <c r="CA19" s="3">
        <v>18.34</v>
      </c>
      <c r="CB19" s="3">
        <v>39.07</v>
      </c>
      <c r="CC19" s="3">
        <v>15.87</v>
      </c>
      <c r="CD19" s="3">
        <v>33.81</v>
      </c>
      <c r="CE19" s="3">
        <v>2.64</v>
      </c>
      <c r="CF19" s="3">
        <v>16.7</v>
      </c>
    </row>
    <row r="20" spans="1:84">
      <c r="A20" s="1">
        <v>2023</v>
      </c>
      <c r="B20" t="s">
        <v>90</v>
      </c>
      <c r="C20" s="2">
        <v>45138</v>
      </c>
      <c r="D20" s="4">
        <v>715910680</v>
      </c>
      <c r="E20" s="4">
        <v>771401531</v>
      </c>
      <c r="F20" s="4">
        <v>0</v>
      </c>
      <c r="G20" s="4">
        <v>771401531</v>
      </c>
      <c r="H20" s="3">
        <v>47604.31</v>
      </c>
      <c r="I20" s="4">
        <v>51284</v>
      </c>
      <c r="J20" s="4">
        <v>0</v>
      </c>
      <c r="K20" s="4">
        <v>51284</v>
      </c>
      <c r="L20" s="4">
        <v>962298434</v>
      </c>
      <c r="M20" s="4">
        <v>221515100</v>
      </c>
      <c r="N20" s="4">
        <v>740783334</v>
      </c>
      <c r="O20" s="4">
        <v>210167980</v>
      </c>
      <c r="P20" s="4">
        <v>712840300</v>
      </c>
      <c r="Q20" s="4">
        <v>0</v>
      </c>
      <c r="R20" s="4">
        <v>6510000</v>
      </c>
      <c r="S20" s="4">
        <v>197406903</v>
      </c>
      <c r="T20" s="4">
        <v>-55490851</v>
      </c>
      <c r="U20" s="3">
        <v>-3679.69</v>
      </c>
      <c r="V20" s="4">
        <v>5100349434</v>
      </c>
      <c r="W20" s="4">
        <v>338828</v>
      </c>
      <c r="X20" s="4">
        <v>4198415234</v>
      </c>
      <c r="Y20" s="3">
        <v>82.3</v>
      </c>
      <c r="Z20" s="3">
        <v>15.12</v>
      </c>
      <c r="AA20" s="3">
        <v>15.12</v>
      </c>
      <c r="AB20" s="3">
        <v>14.04</v>
      </c>
      <c r="AC20" s="3">
        <v>1.22</v>
      </c>
      <c r="AD20" s="3">
        <v>0.8</v>
      </c>
      <c r="AE20" s="3">
        <v>1.48</v>
      </c>
      <c r="AF20" s="3">
        <v>1.37</v>
      </c>
      <c r="AG20" s="3">
        <v>1.22</v>
      </c>
      <c r="AH20" s="3">
        <v>1.22</v>
      </c>
      <c r="AI20" s="3">
        <v>17106.080000000002</v>
      </c>
      <c r="AJ20" s="3">
        <v>1.1399999999999999</v>
      </c>
      <c r="AK20" s="3">
        <v>2587.21</v>
      </c>
      <c r="AL20" s="3">
        <v>2401.1</v>
      </c>
      <c r="AM20" s="3">
        <v>14834.49</v>
      </c>
      <c r="AN20" s="3">
        <v>0.99</v>
      </c>
      <c r="AO20" s="3">
        <v>2243.64</v>
      </c>
      <c r="AP20" s="3">
        <v>2082.2399999999998</v>
      </c>
      <c r="AQ20" s="3">
        <v>15134.05</v>
      </c>
      <c r="AR20" s="3">
        <v>14620.99</v>
      </c>
      <c r="AS20" s="3">
        <v>0.24</v>
      </c>
      <c r="AT20" s="3">
        <v>0.17</v>
      </c>
      <c r="AU20" s="4">
        <v>298160</v>
      </c>
      <c r="AV20" s="4">
        <v>57319</v>
      </c>
      <c r="AW20" s="3">
        <v>19.2</v>
      </c>
      <c r="AX20" s="4">
        <v>240841</v>
      </c>
      <c r="AY20" s="4">
        <v>0</v>
      </c>
      <c r="AZ20" s="4">
        <v>21535</v>
      </c>
      <c r="BA20" s="3">
        <v>7.2</v>
      </c>
      <c r="BB20" s="4">
        <v>25714000</v>
      </c>
      <c r="BC20" s="4">
        <v>319940</v>
      </c>
      <c r="BD20" s="4">
        <v>3234</v>
      </c>
      <c r="BE20" s="4">
        <v>18381</v>
      </c>
      <c r="BF20" s="3">
        <v>5.7</v>
      </c>
      <c r="BG20" s="4">
        <v>343402</v>
      </c>
      <c r="BH20" s="4">
        <v>343817</v>
      </c>
      <c r="BI20" s="4">
        <v>58893</v>
      </c>
      <c r="BJ20" s="4">
        <v>284924</v>
      </c>
      <c r="BK20" s="4">
        <v>645</v>
      </c>
      <c r="BL20" s="3">
        <v>0.37</v>
      </c>
      <c r="BM20" s="3">
        <v>4.5</v>
      </c>
      <c r="BN20" s="4">
        <v>14373</v>
      </c>
      <c r="BO20" s="3">
        <v>0.61</v>
      </c>
      <c r="BP20" s="4">
        <v>13728</v>
      </c>
      <c r="BQ20" s="3">
        <v>0.63</v>
      </c>
      <c r="BR20" s="3">
        <v>95.5</v>
      </c>
      <c r="BS20" s="4">
        <v>1392</v>
      </c>
      <c r="BT20" s="3">
        <v>1.43</v>
      </c>
      <c r="BU20" s="3">
        <v>19.100000000000001</v>
      </c>
      <c r="BV20" s="4">
        <v>7307</v>
      </c>
      <c r="BW20" s="3">
        <v>1.07</v>
      </c>
      <c r="BX20" s="3">
        <v>1.1499999999999999</v>
      </c>
      <c r="BY20" s="3">
        <v>1.03</v>
      </c>
      <c r="BZ20" s="3">
        <v>1.18</v>
      </c>
      <c r="CA20" s="3">
        <v>23.92</v>
      </c>
      <c r="CB20" s="3">
        <v>47.05</v>
      </c>
      <c r="CC20" s="3">
        <v>20.74</v>
      </c>
      <c r="CD20" s="3">
        <v>40.799999999999997</v>
      </c>
      <c r="CE20" s="3">
        <v>2.15</v>
      </c>
      <c r="CF20" s="3">
        <v>21.62</v>
      </c>
    </row>
    <row r="21" spans="1:84">
      <c r="A21" s="1">
        <v>2023</v>
      </c>
      <c r="B21" t="s">
        <v>91</v>
      </c>
      <c r="C21" s="2">
        <v>45169</v>
      </c>
      <c r="D21" s="4">
        <v>764770340</v>
      </c>
      <c r="E21" s="4">
        <v>820148748</v>
      </c>
      <c r="F21" s="4">
        <v>0</v>
      </c>
      <c r="G21" s="4">
        <v>820148748</v>
      </c>
      <c r="H21" s="3">
        <v>50145.58</v>
      </c>
      <c r="I21" s="4">
        <v>53773</v>
      </c>
      <c r="J21" s="4">
        <v>0</v>
      </c>
      <c r="K21" s="4">
        <v>53773</v>
      </c>
      <c r="L21" s="4">
        <v>903557500</v>
      </c>
      <c r="M21" s="4">
        <v>216579500</v>
      </c>
      <c r="N21" s="4">
        <v>686978000</v>
      </c>
      <c r="O21" s="4">
        <v>205403980</v>
      </c>
      <c r="P21" s="4">
        <v>666600440</v>
      </c>
      <c r="Q21" s="4">
        <v>0</v>
      </c>
      <c r="R21" s="4">
        <v>7250000</v>
      </c>
      <c r="S21" s="4">
        <v>90658752</v>
      </c>
      <c r="T21" s="4">
        <v>-55378408</v>
      </c>
      <c r="U21" s="3">
        <v>-3627.42</v>
      </c>
      <c r="V21" s="4">
        <v>5089848100</v>
      </c>
      <c r="W21" s="4">
        <v>333719</v>
      </c>
      <c r="X21" s="4">
        <v>4206192500</v>
      </c>
      <c r="Y21" s="3">
        <v>82.6</v>
      </c>
      <c r="Z21" s="3">
        <v>16.11</v>
      </c>
      <c r="AA21" s="3">
        <v>16.11</v>
      </c>
      <c r="AB21" s="3">
        <v>15.03</v>
      </c>
      <c r="AC21" s="3">
        <v>1.17</v>
      </c>
      <c r="AD21" s="3">
        <v>0.82</v>
      </c>
      <c r="AE21" s="3">
        <v>1.37</v>
      </c>
      <c r="AF21" s="3">
        <v>1.24</v>
      </c>
      <c r="AG21" s="3">
        <v>0.93</v>
      </c>
      <c r="AH21" s="3">
        <v>0.94</v>
      </c>
      <c r="AI21" s="3">
        <v>18370.46</v>
      </c>
      <c r="AJ21" s="3">
        <v>1.2</v>
      </c>
      <c r="AK21" s="3">
        <v>2960.11</v>
      </c>
      <c r="AL21" s="3">
        <v>2760.24</v>
      </c>
      <c r="AM21" s="3">
        <v>15677.91</v>
      </c>
      <c r="AN21" s="3">
        <v>1.03</v>
      </c>
      <c r="AO21" s="3">
        <v>2526.25</v>
      </c>
      <c r="AP21" s="3">
        <v>2355.67</v>
      </c>
      <c r="AQ21" s="3">
        <v>15069.95</v>
      </c>
      <c r="AR21" s="3">
        <v>15667.17</v>
      </c>
      <c r="AS21" s="3">
        <v>0.24</v>
      </c>
      <c r="AT21" s="3">
        <v>0.16</v>
      </c>
      <c r="AU21" s="4">
        <v>277067</v>
      </c>
      <c r="AV21" s="4">
        <v>56471</v>
      </c>
      <c r="AW21" s="3">
        <v>20.399999999999999</v>
      </c>
      <c r="AX21" s="4">
        <v>220596</v>
      </c>
      <c r="AY21" s="4">
        <v>0</v>
      </c>
      <c r="AZ21" s="4">
        <v>20602</v>
      </c>
      <c r="BA21" s="3">
        <v>7.4</v>
      </c>
      <c r="BB21" s="4">
        <v>17932800</v>
      </c>
      <c r="BC21" s="4">
        <v>298877</v>
      </c>
      <c r="BD21" s="4">
        <v>3217</v>
      </c>
      <c r="BE21" s="4">
        <v>18580</v>
      </c>
      <c r="BF21" s="3">
        <v>6.2</v>
      </c>
      <c r="BG21" s="4">
        <v>324208</v>
      </c>
      <c r="BH21" s="4">
        <v>324651</v>
      </c>
      <c r="BI21" s="4">
        <v>57917</v>
      </c>
      <c r="BJ21" s="4">
        <v>266734</v>
      </c>
      <c r="BK21" s="4">
        <v>689</v>
      </c>
      <c r="BL21" s="3">
        <v>0.43</v>
      </c>
      <c r="BM21" s="3">
        <v>4.9000000000000004</v>
      </c>
      <c r="BN21" s="4">
        <v>13934</v>
      </c>
      <c r="BO21" s="3">
        <v>0.62</v>
      </c>
      <c r="BP21" s="4">
        <v>13245</v>
      </c>
      <c r="BQ21" s="3">
        <v>0.64</v>
      </c>
      <c r="BR21" s="3">
        <v>95.1</v>
      </c>
      <c r="BS21" s="4">
        <v>1331</v>
      </c>
      <c r="BT21" s="3">
        <v>1.17</v>
      </c>
      <c r="BU21" s="4">
        <v>18</v>
      </c>
      <c r="BV21" s="4">
        <v>7395</v>
      </c>
      <c r="BW21" s="3">
        <v>1.1100000000000001</v>
      </c>
      <c r="BX21" s="3">
        <v>1.17</v>
      </c>
      <c r="BY21" s="3">
        <v>1.03</v>
      </c>
      <c r="BZ21" s="3">
        <v>1.21</v>
      </c>
      <c r="CA21" s="3">
        <v>23.3</v>
      </c>
      <c r="CB21" s="3">
        <v>43.9</v>
      </c>
      <c r="CC21" s="3">
        <v>19.88</v>
      </c>
      <c r="CD21" s="3">
        <v>37.47</v>
      </c>
      <c r="CE21" s="3">
        <v>2.5099999999999998</v>
      </c>
      <c r="CF21" s="3">
        <v>20.79</v>
      </c>
    </row>
    <row r="22" spans="1:84">
      <c r="A22" s="1">
        <v>2023</v>
      </c>
      <c r="B22" t="s">
        <v>92</v>
      </c>
      <c r="C22" s="2">
        <v>45199</v>
      </c>
      <c r="D22" s="4">
        <v>791354238</v>
      </c>
      <c r="E22" s="4">
        <v>851123682</v>
      </c>
      <c r="F22" s="4">
        <v>0</v>
      </c>
      <c r="G22" s="4">
        <v>851123682</v>
      </c>
      <c r="H22" s="3">
        <v>51563.94</v>
      </c>
      <c r="I22" s="4">
        <v>55450</v>
      </c>
      <c r="J22" s="4">
        <v>0</v>
      </c>
      <c r="K22" s="4">
        <v>55450</v>
      </c>
      <c r="L22" s="4">
        <v>966400039</v>
      </c>
      <c r="M22" s="4">
        <v>208200300</v>
      </c>
      <c r="N22" s="4">
        <v>758199739</v>
      </c>
      <c r="O22" s="4">
        <v>197565480</v>
      </c>
      <c r="P22" s="4">
        <v>732677820</v>
      </c>
      <c r="Q22" s="4">
        <v>0</v>
      </c>
      <c r="R22" s="4">
        <v>8367400</v>
      </c>
      <c r="S22" s="4">
        <v>123643757</v>
      </c>
      <c r="T22" s="4">
        <v>-59769444</v>
      </c>
      <c r="U22" s="3">
        <v>-3886.06</v>
      </c>
      <c r="V22" s="4">
        <v>5491693219</v>
      </c>
      <c r="W22" s="4">
        <v>357507</v>
      </c>
      <c r="X22" s="4">
        <v>4639746619</v>
      </c>
      <c r="Y22" s="3">
        <v>84.5</v>
      </c>
      <c r="Z22" s="3">
        <v>15.5</v>
      </c>
      <c r="AA22" s="3">
        <v>15.5</v>
      </c>
      <c r="AB22" s="3">
        <v>14.41</v>
      </c>
      <c r="AC22" s="3">
        <v>1.26</v>
      </c>
      <c r="AD22" s="3">
        <v>0.89</v>
      </c>
      <c r="AE22" s="3">
        <v>1.69</v>
      </c>
      <c r="AF22" s="3">
        <v>1.45</v>
      </c>
      <c r="AG22" s="3">
        <v>1.1499999999999999</v>
      </c>
      <c r="AH22" s="3">
        <v>1.1100000000000001</v>
      </c>
      <c r="AI22" s="3">
        <v>17202.61</v>
      </c>
      <c r="AJ22" s="3">
        <v>1.1200000000000001</v>
      </c>
      <c r="AK22" s="3">
        <v>2666.13</v>
      </c>
      <c r="AL22" s="3">
        <v>2478.9</v>
      </c>
      <c r="AM22" s="3">
        <v>15271.93</v>
      </c>
      <c r="AN22" s="3">
        <v>0.99</v>
      </c>
      <c r="AO22" s="3">
        <v>2366.9</v>
      </c>
      <c r="AP22" s="3">
        <v>2200.69</v>
      </c>
      <c r="AQ22" s="3">
        <v>15103.89</v>
      </c>
      <c r="AR22" s="3">
        <v>15171.88</v>
      </c>
      <c r="AS22" s="3">
        <v>0.23</v>
      </c>
      <c r="AT22" s="3">
        <v>0.16</v>
      </c>
      <c r="AU22" s="4">
        <v>319236</v>
      </c>
      <c r="AV22" s="4">
        <v>54342</v>
      </c>
      <c r="AW22" s="4">
        <v>17</v>
      </c>
      <c r="AX22" s="4">
        <v>264894</v>
      </c>
      <c r="AY22" s="4">
        <v>0</v>
      </c>
      <c r="AZ22" s="4">
        <v>33463</v>
      </c>
      <c r="BA22" s="3">
        <v>10.5</v>
      </c>
      <c r="BB22" s="4">
        <v>22732700</v>
      </c>
      <c r="BC22" s="4">
        <v>343782</v>
      </c>
      <c r="BD22" s="4">
        <v>3172</v>
      </c>
      <c r="BE22" s="4">
        <v>21688</v>
      </c>
      <c r="BF22" s="3">
        <v>6.3</v>
      </c>
      <c r="BG22" s="4">
        <v>359205</v>
      </c>
      <c r="BH22" s="4">
        <v>359594</v>
      </c>
      <c r="BI22" s="4">
        <v>55765</v>
      </c>
      <c r="BJ22" s="4">
        <v>303829</v>
      </c>
      <c r="BK22" s="4">
        <v>706</v>
      </c>
      <c r="BL22" s="3">
        <v>0.46</v>
      </c>
      <c r="BM22" s="3">
        <v>5.2</v>
      </c>
      <c r="BN22" s="4">
        <v>13458</v>
      </c>
      <c r="BO22" s="3">
        <v>0.63</v>
      </c>
      <c r="BP22" s="4">
        <v>12752</v>
      </c>
      <c r="BQ22" s="3">
        <v>0.65</v>
      </c>
      <c r="BR22" s="3">
        <v>94.8</v>
      </c>
      <c r="BS22" s="4">
        <v>1376</v>
      </c>
      <c r="BT22" s="3">
        <v>1.31</v>
      </c>
      <c r="BU22" s="3">
        <v>17.8</v>
      </c>
      <c r="BV22" s="4">
        <v>7743</v>
      </c>
      <c r="BW22" s="3">
        <v>1.19</v>
      </c>
      <c r="BX22" s="3">
        <v>1.1299999999999999</v>
      </c>
      <c r="BY22" s="3">
        <v>1.03</v>
      </c>
      <c r="BZ22" s="3">
        <v>1.1499999999999999</v>
      </c>
      <c r="CA22" s="3">
        <v>26.72</v>
      </c>
      <c r="CB22" s="3">
        <v>46.44</v>
      </c>
      <c r="CC22" s="3">
        <v>23.72</v>
      </c>
      <c r="CD22" s="3">
        <v>41.23</v>
      </c>
      <c r="CE22" s="3">
        <v>2.25</v>
      </c>
      <c r="CF22" s="3">
        <v>24.91</v>
      </c>
    </row>
    <row r="23" spans="1:84">
      <c r="A23" s="1">
        <v>2023</v>
      </c>
      <c r="B23" t="s">
        <v>93</v>
      </c>
      <c r="C23" s="2">
        <v>45230</v>
      </c>
      <c r="D23" s="3">
        <v>743899460.69000006</v>
      </c>
      <c r="E23" s="4">
        <v>799484658</v>
      </c>
      <c r="F23" s="4">
        <v>0</v>
      </c>
      <c r="G23" s="4">
        <v>799484658</v>
      </c>
      <c r="H23" s="3">
        <v>47244.7</v>
      </c>
      <c r="I23" s="4">
        <v>50769</v>
      </c>
      <c r="J23" s="4">
        <v>0</v>
      </c>
      <c r="K23" s="4">
        <v>50769</v>
      </c>
      <c r="L23" s="4">
        <v>918538053</v>
      </c>
      <c r="M23" s="4">
        <v>198960600</v>
      </c>
      <c r="N23" s="4">
        <v>719577453</v>
      </c>
      <c r="O23" s="4">
        <v>184658540</v>
      </c>
      <c r="P23" s="4">
        <v>693715760</v>
      </c>
      <c r="Q23" s="4">
        <v>0</v>
      </c>
      <c r="R23" s="4">
        <v>6180000</v>
      </c>
      <c r="S23" s="4">
        <v>125233395</v>
      </c>
      <c r="T23" s="3">
        <v>-55585197.310000002</v>
      </c>
      <c r="U23" s="3">
        <v>-3524.3</v>
      </c>
      <c r="V23" s="4">
        <v>5108784953</v>
      </c>
      <c r="W23" s="4">
        <v>324478</v>
      </c>
      <c r="X23" s="4">
        <v>4308507153</v>
      </c>
      <c r="Y23" s="3">
        <v>84.3</v>
      </c>
      <c r="Z23" s="3">
        <v>15.65</v>
      </c>
      <c r="AA23" s="3">
        <v>15.65</v>
      </c>
      <c r="AB23" s="3">
        <v>14.56</v>
      </c>
      <c r="AC23" s="3">
        <v>1.23</v>
      </c>
      <c r="AD23" s="3">
        <v>0.95</v>
      </c>
      <c r="AE23" s="3">
        <v>1.72</v>
      </c>
      <c r="AF23" s="3">
        <v>1.46</v>
      </c>
      <c r="AG23" s="3">
        <v>0.94</v>
      </c>
      <c r="AH23" s="3">
        <v>0.94</v>
      </c>
      <c r="AI23" s="3">
        <v>16977.73</v>
      </c>
      <c r="AJ23" s="3">
        <v>1.08</v>
      </c>
      <c r="AK23" s="3">
        <v>2656.88</v>
      </c>
      <c r="AL23" s="3">
        <v>2472.16</v>
      </c>
      <c r="AM23" s="3">
        <v>15075.94</v>
      </c>
      <c r="AN23" s="3">
        <v>0.96</v>
      </c>
      <c r="AO23" s="3">
        <v>2359.27</v>
      </c>
      <c r="AP23" s="3">
        <v>2195.2399999999998</v>
      </c>
      <c r="AQ23" s="3">
        <v>15027.68</v>
      </c>
      <c r="AR23" s="3">
        <v>14925.45</v>
      </c>
      <c r="AS23" s="3">
        <v>0.23</v>
      </c>
      <c r="AT23" s="3">
        <v>0.16</v>
      </c>
      <c r="AU23" s="4">
        <v>300911</v>
      </c>
      <c r="AV23" s="4">
        <v>51065</v>
      </c>
      <c r="AW23" s="4">
        <v>17</v>
      </c>
      <c r="AX23" s="4">
        <v>249846</v>
      </c>
      <c r="AY23" s="4">
        <v>0</v>
      </c>
      <c r="AZ23" s="4">
        <v>31380</v>
      </c>
      <c r="BA23" s="3">
        <v>10.4</v>
      </c>
      <c r="BB23" s="4">
        <v>19754700</v>
      </c>
      <c r="BC23" s="4">
        <v>326015</v>
      </c>
      <c r="BD23" s="4">
        <v>2788</v>
      </c>
      <c r="BE23" s="4">
        <v>22197</v>
      </c>
      <c r="BF23" s="3">
        <v>6.8</v>
      </c>
      <c r="BG23" s="4">
        <v>338445</v>
      </c>
      <c r="BH23" s="4">
        <v>338870</v>
      </c>
      <c r="BI23" s="4">
        <v>52352</v>
      </c>
      <c r="BJ23" s="4">
        <v>286518</v>
      </c>
      <c r="BK23" s="4">
        <v>597</v>
      </c>
      <c r="BL23" s="3">
        <v>0.41</v>
      </c>
      <c r="BM23" s="3">
        <v>4.7</v>
      </c>
      <c r="BN23" s="4">
        <v>12689</v>
      </c>
      <c r="BO23" s="3">
        <v>0.62</v>
      </c>
      <c r="BP23" s="4">
        <v>12092</v>
      </c>
      <c r="BQ23" s="3">
        <v>0.64</v>
      </c>
      <c r="BR23" s="3">
        <v>95.3</v>
      </c>
      <c r="BS23" s="4">
        <v>1159</v>
      </c>
      <c r="BT23" s="3">
        <v>1.32</v>
      </c>
      <c r="BU23" s="3">
        <v>15.6</v>
      </c>
      <c r="BV23" s="4">
        <v>7453</v>
      </c>
      <c r="BW23" s="3">
        <v>1.19</v>
      </c>
      <c r="BX23" s="3">
        <v>1.1299999999999999</v>
      </c>
      <c r="BY23" s="3">
        <v>1.03</v>
      </c>
      <c r="BZ23" s="3">
        <v>1.1499999999999999</v>
      </c>
      <c r="CA23" s="3">
        <v>26.71</v>
      </c>
      <c r="CB23" s="3">
        <v>45.47</v>
      </c>
      <c r="CC23" s="3">
        <v>23.71</v>
      </c>
      <c r="CD23" s="3">
        <v>40.369999999999997</v>
      </c>
      <c r="CE23" s="3">
        <v>2.4700000000000002</v>
      </c>
      <c r="CF23" s="3">
        <v>24.76</v>
      </c>
    </row>
    <row r="24" spans="1:84">
      <c r="A24" s="1">
        <v>2023</v>
      </c>
      <c r="B24" t="s">
        <v>94</v>
      </c>
      <c r="C24" s="2">
        <v>45260</v>
      </c>
      <c r="D24" s="4">
        <v>774720516</v>
      </c>
      <c r="E24" s="4">
        <v>826937868</v>
      </c>
      <c r="F24" s="4">
        <v>0</v>
      </c>
      <c r="G24" s="4">
        <v>826937868</v>
      </c>
      <c r="H24" s="3">
        <v>49659.1</v>
      </c>
      <c r="I24" s="4">
        <v>53041</v>
      </c>
      <c r="J24" s="4">
        <v>0</v>
      </c>
      <c r="K24" s="4">
        <v>53041</v>
      </c>
      <c r="L24" s="4">
        <v>868952620</v>
      </c>
      <c r="M24" s="4">
        <v>186367500</v>
      </c>
      <c r="N24" s="4">
        <v>682585120</v>
      </c>
      <c r="O24" s="4">
        <v>167993380</v>
      </c>
      <c r="P24" s="4">
        <v>657467260</v>
      </c>
      <c r="Q24" s="4">
        <v>0</v>
      </c>
      <c r="R24" s="4">
        <v>4840000</v>
      </c>
      <c r="S24" s="4">
        <v>46854752</v>
      </c>
      <c r="T24" s="4">
        <v>-52217352</v>
      </c>
      <c r="U24" s="3">
        <v>-3381.9</v>
      </c>
      <c r="V24" s="4">
        <v>4799320520</v>
      </c>
      <c r="W24" s="4">
        <v>307901</v>
      </c>
      <c r="X24" s="4">
        <v>4065255920</v>
      </c>
      <c r="Y24" s="3">
        <v>84.7</v>
      </c>
      <c r="Z24" s="3">
        <v>17.23</v>
      </c>
      <c r="AA24" s="3">
        <v>17.23</v>
      </c>
      <c r="AB24" s="3">
        <v>16.14</v>
      </c>
      <c r="AC24" s="3">
        <v>1.23</v>
      </c>
      <c r="AD24" s="3">
        <v>1.01</v>
      </c>
      <c r="AE24" s="3">
        <v>1.75</v>
      </c>
      <c r="AF24" s="3">
        <v>1.5</v>
      </c>
      <c r="AG24" s="3">
        <v>0.97</v>
      </c>
      <c r="AH24" s="3">
        <v>0.97</v>
      </c>
      <c r="AI24" s="3">
        <v>16404.900000000001</v>
      </c>
      <c r="AJ24" s="3">
        <v>1.05</v>
      </c>
      <c r="AK24" s="3">
        <v>2826.62</v>
      </c>
      <c r="AL24" s="3">
        <v>2648.13</v>
      </c>
      <c r="AM24" s="3">
        <v>14550.67</v>
      </c>
      <c r="AN24" s="3">
        <v>0.93</v>
      </c>
      <c r="AO24" s="3">
        <v>2507.13</v>
      </c>
      <c r="AP24" s="3">
        <v>2348.81</v>
      </c>
      <c r="AQ24" s="3">
        <v>14906.02</v>
      </c>
      <c r="AR24" s="3">
        <v>14318.39</v>
      </c>
      <c r="AS24" s="3">
        <v>0.23</v>
      </c>
      <c r="AT24" s="3">
        <v>0.16</v>
      </c>
      <c r="AU24" s="4">
        <v>292554</v>
      </c>
      <c r="AV24" s="4">
        <v>46834</v>
      </c>
      <c r="AW24" s="4">
        <v>16</v>
      </c>
      <c r="AX24" s="4">
        <v>245720</v>
      </c>
      <c r="AY24" s="4">
        <v>0</v>
      </c>
      <c r="AZ24" s="4">
        <v>26816</v>
      </c>
      <c r="BA24" s="3">
        <v>9.1999999999999993</v>
      </c>
      <c r="BB24" s="4">
        <v>14672700</v>
      </c>
      <c r="BC24" s="4">
        <v>317774</v>
      </c>
      <c r="BD24" s="4">
        <v>2629</v>
      </c>
      <c r="BE24" s="4">
        <v>22511</v>
      </c>
      <c r="BF24" s="3">
        <v>7.1</v>
      </c>
      <c r="BG24" s="4">
        <v>329349</v>
      </c>
      <c r="BH24" s="4">
        <v>329835</v>
      </c>
      <c r="BI24" s="4">
        <v>48062</v>
      </c>
      <c r="BJ24" s="4">
        <v>281773</v>
      </c>
      <c r="BK24" s="4">
        <v>511</v>
      </c>
      <c r="BL24" s="3">
        <v>0.36</v>
      </c>
      <c r="BM24" s="3">
        <v>4.4000000000000004</v>
      </c>
      <c r="BN24" s="4">
        <v>11710</v>
      </c>
      <c r="BO24" s="3">
        <v>0.59</v>
      </c>
      <c r="BP24" s="4">
        <v>11199</v>
      </c>
      <c r="BQ24" s="3">
        <v>0.61</v>
      </c>
      <c r="BR24" s="3">
        <v>95.6</v>
      </c>
      <c r="BS24" s="4">
        <v>873</v>
      </c>
      <c r="BT24" s="3">
        <v>0.99</v>
      </c>
      <c r="BU24" s="3">
        <v>12.7</v>
      </c>
      <c r="BV24" s="4">
        <v>6894</v>
      </c>
      <c r="BW24" s="3">
        <v>1.1499999999999999</v>
      </c>
      <c r="BX24" s="3">
        <v>1.1299999999999999</v>
      </c>
      <c r="BY24" s="3">
        <v>1.03</v>
      </c>
      <c r="BZ24" s="3">
        <v>1.1499999999999999</v>
      </c>
      <c r="CA24" s="3">
        <v>28.17</v>
      </c>
      <c r="CB24" s="3">
        <v>47.84</v>
      </c>
      <c r="CC24" s="3">
        <v>24.98</v>
      </c>
      <c r="CD24" s="3">
        <v>42.44</v>
      </c>
      <c r="CE24" s="3">
        <v>2.25</v>
      </c>
      <c r="CF24" s="3">
        <v>26.02</v>
      </c>
    </row>
    <row r="25" spans="1:84">
      <c r="A25" s="1">
        <v>2023</v>
      </c>
      <c r="B25" t="s">
        <v>95</v>
      </c>
      <c r="C25" s="2">
        <v>45291</v>
      </c>
      <c r="D25" s="4">
        <v>891685019</v>
      </c>
      <c r="E25" s="4">
        <v>946960906</v>
      </c>
      <c r="F25" s="4">
        <v>0</v>
      </c>
      <c r="G25" s="4">
        <v>946960906</v>
      </c>
      <c r="H25" s="3">
        <v>57501.35</v>
      </c>
      <c r="I25" s="4">
        <v>61093</v>
      </c>
      <c r="J25" s="4">
        <v>0</v>
      </c>
      <c r="K25" s="4">
        <v>61093</v>
      </c>
      <c r="L25" s="4">
        <v>978121569</v>
      </c>
      <c r="M25" s="4">
        <v>210610400</v>
      </c>
      <c r="N25" s="4">
        <v>767511169</v>
      </c>
      <c r="O25" s="4">
        <v>187802460</v>
      </c>
      <c r="P25" s="4">
        <v>737350000</v>
      </c>
      <c r="Q25" s="4">
        <v>0</v>
      </c>
      <c r="R25" s="4">
        <v>4690000</v>
      </c>
      <c r="S25" s="4">
        <v>35850663</v>
      </c>
      <c r="T25" s="4">
        <v>-55275887</v>
      </c>
      <c r="U25" s="3">
        <v>-3591.65</v>
      </c>
      <c r="V25" s="4">
        <v>5080356569</v>
      </c>
      <c r="W25" s="4">
        <v>327807</v>
      </c>
      <c r="X25" s="4">
        <v>4262368969</v>
      </c>
      <c r="Y25" s="3">
        <v>83.9</v>
      </c>
      <c r="Z25" s="3">
        <v>18.64</v>
      </c>
      <c r="AA25" s="3">
        <v>18.64</v>
      </c>
      <c r="AB25" s="3">
        <v>17.55</v>
      </c>
      <c r="AC25" s="3">
        <v>1.1000000000000001</v>
      </c>
      <c r="AD25" s="3">
        <v>1.38</v>
      </c>
      <c r="AE25" s="3">
        <v>1.46</v>
      </c>
      <c r="AF25" s="3">
        <v>1.29</v>
      </c>
      <c r="AG25" s="3">
        <v>0.94</v>
      </c>
      <c r="AH25" s="3">
        <v>0.97</v>
      </c>
      <c r="AI25" s="3">
        <v>18395.63</v>
      </c>
      <c r="AJ25" s="3">
        <v>1.19</v>
      </c>
      <c r="AK25" s="3">
        <v>3428.88</v>
      </c>
      <c r="AL25" s="3">
        <v>3228.73</v>
      </c>
      <c r="AM25" s="3">
        <v>15875.32</v>
      </c>
      <c r="AN25" s="3">
        <v>1.02</v>
      </c>
      <c r="AO25" s="3">
        <v>2959.1</v>
      </c>
      <c r="AP25" s="3">
        <v>2786.38</v>
      </c>
      <c r="AQ25" s="3">
        <v>15350.15</v>
      </c>
      <c r="AR25" s="3">
        <v>15709.91</v>
      </c>
      <c r="AS25" s="3">
        <v>0.24</v>
      </c>
      <c r="AT25" s="3">
        <v>0.18</v>
      </c>
      <c r="AU25" s="4">
        <v>276172</v>
      </c>
      <c r="AV25" s="4">
        <v>49696</v>
      </c>
      <c r="AW25" s="4">
        <v>18</v>
      </c>
      <c r="AX25" s="4">
        <v>226476</v>
      </c>
      <c r="AY25" s="4">
        <v>0</v>
      </c>
      <c r="AZ25" s="4">
        <v>32764</v>
      </c>
      <c r="BA25" s="3">
        <v>11.9</v>
      </c>
      <c r="BB25" s="4">
        <v>20737800</v>
      </c>
      <c r="BC25" s="4">
        <v>319467</v>
      </c>
      <c r="BD25" s="4">
        <v>3933</v>
      </c>
      <c r="BE25" s="4">
        <v>39522</v>
      </c>
      <c r="BF25" s="3">
        <v>12.4</v>
      </c>
      <c r="BG25" s="4">
        <v>319740</v>
      </c>
      <c r="BH25" s="4">
        <v>320016</v>
      </c>
      <c r="BI25" s="4">
        <v>51854</v>
      </c>
      <c r="BJ25" s="4">
        <v>268162</v>
      </c>
      <c r="BK25" s="4">
        <v>622</v>
      </c>
      <c r="BL25" s="3">
        <v>0.37</v>
      </c>
      <c r="BM25" s="3">
        <v>5.0999999999999996</v>
      </c>
      <c r="BN25" s="4">
        <v>12177</v>
      </c>
      <c r="BO25" s="3">
        <v>0.59</v>
      </c>
      <c r="BP25" s="4">
        <v>11555</v>
      </c>
      <c r="BQ25" s="3">
        <v>0.61</v>
      </c>
      <c r="BR25" s="3">
        <v>94.9</v>
      </c>
      <c r="BS25" s="4">
        <v>881</v>
      </c>
      <c r="BT25" s="3">
        <v>0.84</v>
      </c>
      <c r="BU25" s="3">
        <v>12.9</v>
      </c>
      <c r="BV25" s="4">
        <v>6818</v>
      </c>
      <c r="BW25" s="3">
        <v>1.07</v>
      </c>
      <c r="BX25" s="3">
        <v>1.1599999999999999</v>
      </c>
      <c r="BY25" s="3">
        <v>1.04</v>
      </c>
      <c r="BZ25" s="3">
        <v>1.18</v>
      </c>
      <c r="CA25" s="3">
        <v>26.28</v>
      </c>
      <c r="CB25" s="3">
        <v>46.94</v>
      </c>
      <c r="CC25" s="3">
        <v>22.68</v>
      </c>
      <c r="CD25" s="3">
        <v>40.51</v>
      </c>
      <c r="CE25" s="3">
        <v>3.18</v>
      </c>
      <c r="CF25" s="3">
        <v>23.73</v>
      </c>
    </row>
    <row r="26" spans="1:84">
      <c r="A26" s="1">
        <v>2024</v>
      </c>
      <c r="B26" t="s">
        <v>84</v>
      </c>
      <c r="C26" s="2">
        <v>45322</v>
      </c>
      <c r="D26" s="4">
        <v>698637519</v>
      </c>
      <c r="E26" s="4">
        <v>740069664</v>
      </c>
      <c r="F26" s="4">
        <v>0</v>
      </c>
      <c r="G26" s="4">
        <v>740069664</v>
      </c>
      <c r="H26" s="3">
        <v>44774.32</v>
      </c>
      <c r="I26" s="4">
        <v>47405</v>
      </c>
      <c r="J26" s="4">
        <v>0</v>
      </c>
      <c r="K26" s="4">
        <v>47405</v>
      </c>
      <c r="L26" s="4">
        <v>751338903</v>
      </c>
      <c r="M26" s="4">
        <v>165635400</v>
      </c>
      <c r="N26" s="4">
        <v>585703503</v>
      </c>
      <c r="O26" s="4">
        <v>146198640</v>
      </c>
      <c r="P26" s="4">
        <v>562773960</v>
      </c>
      <c r="Q26" s="4">
        <v>0</v>
      </c>
      <c r="R26" s="4">
        <v>4210000</v>
      </c>
      <c r="S26" s="4">
        <v>15479239</v>
      </c>
      <c r="T26" s="4">
        <v>-41432145</v>
      </c>
      <c r="U26" s="3">
        <v>-2630.68</v>
      </c>
      <c r="V26" s="4">
        <v>3807990803</v>
      </c>
      <c r="W26" s="4">
        <v>243986</v>
      </c>
      <c r="X26" s="4">
        <v>3163893303</v>
      </c>
      <c r="Y26" s="3">
        <v>83.1</v>
      </c>
      <c r="Z26" s="3">
        <v>19.43</v>
      </c>
      <c r="AA26" s="3">
        <v>19.43</v>
      </c>
      <c r="AB26" s="3">
        <v>18.350000000000001</v>
      </c>
      <c r="AC26" s="3">
        <v>0.97</v>
      </c>
      <c r="AD26" s="3">
        <v>0.94</v>
      </c>
      <c r="AE26" s="3">
        <v>1.1100000000000001</v>
      </c>
      <c r="AF26" s="3">
        <v>1.06</v>
      </c>
      <c r="AG26" s="3">
        <v>0.73</v>
      </c>
      <c r="AH26" s="3">
        <v>0.75</v>
      </c>
      <c r="AI26" s="3">
        <v>19014.47</v>
      </c>
      <c r="AJ26" s="3">
        <v>1.22</v>
      </c>
      <c r="AK26" s="3">
        <v>3695.4</v>
      </c>
      <c r="AL26" s="3">
        <v>3488.51</v>
      </c>
      <c r="AM26" s="3">
        <v>15851.7</v>
      </c>
      <c r="AN26" s="3">
        <v>1.02</v>
      </c>
      <c r="AO26" s="3">
        <v>3080.72</v>
      </c>
      <c r="AP26" s="3">
        <v>2908.25</v>
      </c>
      <c r="AQ26" s="3">
        <v>14815.28</v>
      </c>
      <c r="AR26" s="3">
        <v>15813.71</v>
      </c>
      <c r="AS26" s="3">
        <v>0.23</v>
      </c>
      <c r="AT26" s="3">
        <v>0.18</v>
      </c>
      <c r="AU26" s="4">
        <v>200268</v>
      </c>
      <c r="AV26" s="4">
        <v>41273</v>
      </c>
      <c r="AW26" s="3">
        <v>20.6</v>
      </c>
      <c r="AX26" s="4">
        <v>158995</v>
      </c>
      <c r="AY26" s="4">
        <v>0</v>
      </c>
      <c r="AZ26" s="4">
        <v>25700</v>
      </c>
      <c r="BA26" s="3">
        <v>12.8</v>
      </c>
      <c r="BB26" s="4">
        <v>16291700</v>
      </c>
      <c r="BC26" s="4">
        <v>226494</v>
      </c>
      <c r="BD26" s="4">
        <v>2512</v>
      </c>
      <c r="BE26" s="4">
        <v>23595</v>
      </c>
      <c r="BF26" s="3">
        <v>10.4</v>
      </c>
      <c r="BG26" s="4">
        <v>240050</v>
      </c>
      <c r="BH26" s="4">
        <v>240226</v>
      </c>
      <c r="BI26" s="4">
        <v>42228</v>
      </c>
      <c r="BJ26" s="4">
        <v>197998</v>
      </c>
      <c r="BK26" s="4">
        <v>483</v>
      </c>
      <c r="BL26" s="3">
        <v>0.42</v>
      </c>
      <c r="BM26" s="3">
        <v>4.4000000000000004</v>
      </c>
      <c r="BN26" s="4">
        <v>10949</v>
      </c>
      <c r="BO26" s="3">
        <v>0.57999999999999996</v>
      </c>
      <c r="BP26" s="4">
        <v>10466</v>
      </c>
      <c r="BQ26" s="3">
        <v>0.59</v>
      </c>
      <c r="BR26" s="3">
        <v>95.6</v>
      </c>
      <c r="BS26" s="4">
        <v>636</v>
      </c>
      <c r="BT26" s="3">
        <v>0.47</v>
      </c>
      <c r="BU26" s="3">
        <v>10.9</v>
      </c>
      <c r="BV26" s="4">
        <v>5852</v>
      </c>
      <c r="BW26" s="3">
        <v>0.89</v>
      </c>
      <c r="BX26" s="3">
        <v>1.2</v>
      </c>
      <c r="BY26" s="3">
        <v>1.02</v>
      </c>
      <c r="BZ26" s="3">
        <v>1.25</v>
      </c>
      <c r="CA26" s="3">
        <v>21.94</v>
      </c>
      <c r="CB26" s="3">
        <v>41.05</v>
      </c>
      <c r="CC26" s="3">
        <v>18.29</v>
      </c>
      <c r="CD26" s="3">
        <v>34.22</v>
      </c>
      <c r="CE26" s="3">
        <v>3.25</v>
      </c>
      <c r="CF26" s="3">
        <v>18.98</v>
      </c>
    </row>
    <row r="27" spans="1:84">
      <c r="A27" s="1">
        <v>2024</v>
      </c>
      <c r="B27" t="s">
        <v>85</v>
      </c>
      <c r="C27" s="2">
        <v>45351</v>
      </c>
      <c r="D27" s="4">
        <v>606692064</v>
      </c>
      <c r="E27" s="4">
        <v>638968074</v>
      </c>
      <c r="F27" s="4">
        <v>0</v>
      </c>
      <c r="G27" s="4">
        <v>638968074</v>
      </c>
      <c r="H27" s="3">
        <v>39068.94</v>
      </c>
      <c r="I27" s="4">
        <v>41124</v>
      </c>
      <c r="J27" s="4">
        <v>0</v>
      </c>
      <c r="K27" s="4">
        <v>41124</v>
      </c>
      <c r="L27" s="4">
        <v>655445829</v>
      </c>
      <c r="M27" s="4">
        <v>168152300</v>
      </c>
      <c r="N27" s="4">
        <v>487293529</v>
      </c>
      <c r="O27" s="4">
        <v>148879420</v>
      </c>
      <c r="P27" s="4">
        <v>465884120</v>
      </c>
      <c r="Q27" s="4">
        <v>0</v>
      </c>
      <c r="R27" s="4">
        <v>2450000</v>
      </c>
      <c r="S27" s="4">
        <v>18927755</v>
      </c>
      <c r="T27" s="4">
        <v>-32276010</v>
      </c>
      <c r="U27" s="3">
        <v>-2055.06</v>
      </c>
      <c r="V27" s="4">
        <v>2966616029</v>
      </c>
      <c r="W27" s="4">
        <v>189389</v>
      </c>
      <c r="X27" s="4">
        <v>2316191329</v>
      </c>
      <c r="Y27" s="3">
        <v>78.099999999999994</v>
      </c>
      <c r="Z27" s="3">
        <v>21.54</v>
      </c>
      <c r="AA27" s="3">
        <v>21.55</v>
      </c>
      <c r="AB27" s="3">
        <v>20.45</v>
      </c>
      <c r="AC27" s="3">
        <v>0.79</v>
      </c>
      <c r="AD27" s="3">
        <v>0.87</v>
      </c>
      <c r="AE27" s="3">
        <v>0.7</v>
      </c>
      <c r="AF27" s="3">
        <v>0.75</v>
      </c>
      <c r="AG27" s="3">
        <v>0.67</v>
      </c>
      <c r="AH27" s="3">
        <v>0.72</v>
      </c>
      <c r="AI27" s="3">
        <v>22248.84</v>
      </c>
      <c r="AJ27" s="3">
        <v>1.42</v>
      </c>
      <c r="AK27" s="3">
        <v>4792.09</v>
      </c>
      <c r="AL27" s="3">
        <v>4550.03</v>
      </c>
      <c r="AM27" s="3">
        <v>17259.91</v>
      </c>
      <c r="AN27" s="3">
        <v>1.1000000000000001</v>
      </c>
      <c r="AO27" s="3">
        <v>3717.55</v>
      </c>
      <c r="AP27" s="3">
        <v>3529.76</v>
      </c>
      <c r="AQ27" s="3">
        <v>15144.63</v>
      </c>
      <c r="AR27" s="3">
        <v>17550.96</v>
      </c>
      <c r="AS27" s="3">
        <v>0.24</v>
      </c>
      <c r="AT27" s="3">
        <v>0.2</v>
      </c>
      <c r="AU27" s="4">
        <v>133338</v>
      </c>
      <c r="AV27" s="4">
        <v>40460</v>
      </c>
      <c r="AW27" s="3">
        <v>30.3</v>
      </c>
      <c r="AX27" s="4">
        <v>92878</v>
      </c>
      <c r="AY27" s="4">
        <v>0</v>
      </c>
      <c r="AZ27" s="4">
        <v>20318</v>
      </c>
      <c r="BA27" s="3">
        <v>15.2</v>
      </c>
      <c r="BB27" s="4">
        <v>14003400</v>
      </c>
      <c r="BC27" s="4">
        <v>158822</v>
      </c>
      <c r="BD27" s="4">
        <v>3163</v>
      </c>
      <c r="BE27" s="4">
        <v>22300</v>
      </c>
      <c r="BF27" s="4">
        <v>14</v>
      </c>
      <c r="BG27" s="4">
        <v>171828</v>
      </c>
      <c r="BH27" s="4">
        <v>171879</v>
      </c>
      <c r="BI27" s="4">
        <v>41717</v>
      </c>
      <c r="BJ27" s="4">
        <v>130162</v>
      </c>
      <c r="BK27" s="4">
        <v>478</v>
      </c>
      <c r="BL27" s="3">
        <v>0.45</v>
      </c>
      <c r="BM27" s="3">
        <v>4.4000000000000004</v>
      </c>
      <c r="BN27" s="4">
        <v>10764</v>
      </c>
      <c r="BO27" s="3">
        <v>0.6</v>
      </c>
      <c r="BP27" s="4">
        <v>10286</v>
      </c>
      <c r="BQ27" s="3">
        <v>0.61</v>
      </c>
      <c r="BR27" s="3">
        <v>95.6</v>
      </c>
      <c r="BS27" s="4">
        <v>323</v>
      </c>
      <c r="BT27" s="3">
        <v>0.25</v>
      </c>
      <c r="BU27" s="3">
        <v>6.9</v>
      </c>
      <c r="BV27" s="4">
        <v>4678</v>
      </c>
      <c r="BW27" s="3">
        <v>0.72</v>
      </c>
      <c r="BX27" s="3">
        <v>1.29</v>
      </c>
      <c r="BY27" s="3">
        <v>1.03</v>
      </c>
      <c r="BZ27" s="3">
        <v>1.4</v>
      </c>
      <c r="CA27" s="3">
        <v>15.97</v>
      </c>
      <c r="CB27" s="3">
        <v>36.74</v>
      </c>
      <c r="CC27" s="3">
        <v>12.39</v>
      </c>
      <c r="CD27" s="3">
        <v>28.5</v>
      </c>
      <c r="CE27" s="3">
        <v>2.81</v>
      </c>
      <c r="CF27" s="3">
        <v>12.83</v>
      </c>
    </row>
    <row r="28" spans="1:84">
      <c r="A28" s="1">
        <v>2024</v>
      </c>
      <c r="B28" t="s">
        <v>86</v>
      </c>
      <c r="C28" s="2">
        <v>45382</v>
      </c>
      <c r="D28" s="4">
        <v>665307769</v>
      </c>
      <c r="E28" s="4">
        <v>699841186</v>
      </c>
      <c r="F28" s="4">
        <v>0</v>
      </c>
      <c r="G28" s="4">
        <v>699841186</v>
      </c>
      <c r="H28" s="3">
        <v>42355.37</v>
      </c>
      <c r="I28" s="4">
        <v>44530</v>
      </c>
      <c r="J28" s="4">
        <v>0</v>
      </c>
      <c r="K28" s="4">
        <v>44530</v>
      </c>
      <c r="L28" s="4">
        <v>704003650</v>
      </c>
      <c r="M28" s="4">
        <v>182408100</v>
      </c>
      <c r="N28" s="4">
        <v>521595550</v>
      </c>
      <c r="O28" s="4">
        <v>160517440</v>
      </c>
      <c r="P28" s="4">
        <v>498777340</v>
      </c>
      <c r="Q28" s="4">
        <v>0</v>
      </c>
      <c r="R28" s="4">
        <v>3920000</v>
      </c>
      <c r="S28" s="4">
        <v>8082464</v>
      </c>
      <c r="T28" s="4">
        <v>-34533417</v>
      </c>
      <c r="U28" s="3">
        <v>-2174.63</v>
      </c>
      <c r="V28" s="4">
        <v>3173934990</v>
      </c>
      <c r="W28" s="4">
        <v>201975</v>
      </c>
      <c r="X28" s="4">
        <v>2469811990</v>
      </c>
      <c r="Y28" s="3">
        <v>77.8</v>
      </c>
      <c r="Z28" s="3">
        <v>22.05</v>
      </c>
      <c r="AA28" s="3">
        <v>22.11</v>
      </c>
      <c r="AB28" s="3">
        <v>20.96</v>
      </c>
      <c r="AC28" s="3">
        <v>0.7</v>
      </c>
      <c r="AD28" s="3">
        <v>0.81</v>
      </c>
      <c r="AE28" s="3">
        <v>0.57999999999999996</v>
      </c>
      <c r="AF28" s="3">
        <v>0.63</v>
      </c>
      <c r="AG28" s="3">
        <v>1.03</v>
      </c>
      <c r="AH28" s="3">
        <v>1.03</v>
      </c>
      <c r="AI28" s="3">
        <v>23213.67</v>
      </c>
      <c r="AJ28" s="3">
        <v>1.48</v>
      </c>
      <c r="AK28" s="3">
        <v>5118.53</v>
      </c>
      <c r="AL28" s="3">
        <v>4865.96</v>
      </c>
      <c r="AM28" s="3">
        <v>17975.400000000001</v>
      </c>
      <c r="AN28" s="3">
        <v>1.1399999999999999</v>
      </c>
      <c r="AO28" s="3">
        <v>3963.51</v>
      </c>
      <c r="AP28" s="3">
        <v>3767.93</v>
      </c>
      <c r="AQ28" s="3">
        <v>15174.87</v>
      </c>
      <c r="AR28" s="3">
        <v>18507.48</v>
      </c>
      <c r="AS28" s="3">
        <v>0.23</v>
      </c>
      <c r="AT28" s="3">
        <v>0.2</v>
      </c>
      <c r="AU28" s="4">
        <v>136727</v>
      </c>
      <c r="AV28" s="4">
        <v>43549</v>
      </c>
      <c r="AW28" s="3">
        <v>31.9</v>
      </c>
      <c r="AX28" s="4">
        <v>93178</v>
      </c>
      <c r="AY28" s="4">
        <v>0</v>
      </c>
      <c r="AZ28" s="4">
        <v>22419</v>
      </c>
      <c r="BA28" s="3">
        <v>16.399999999999999</v>
      </c>
      <c r="BB28" s="4">
        <v>15651500</v>
      </c>
      <c r="BC28" s="4">
        <v>164109</v>
      </c>
      <c r="BD28" s="4">
        <v>3442</v>
      </c>
      <c r="BE28" s="4">
        <v>23873</v>
      </c>
      <c r="BF28" s="3">
        <v>14.5</v>
      </c>
      <c r="BG28" s="4">
        <v>176502</v>
      </c>
      <c r="BH28" s="4">
        <v>176571</v>
      </c>
      <c r="BI28" s="4">
        <v>45018</v>
      </c>
      <c r="BJ28" s="4">
        <v>131553</v>
      </c>
      <c r="BK28" s="4">
        <v>493</v>
      </c>
      <c r="BL28" s="3">
        <v>0.42</v>
      </c>
      <c r="BM28" s="3">
        <v>4.5999999999999996</v>
      </c>
      <c r="BN28" s="4">
        <v>10784</v>
      </c>
      <c r="BO28" s="3">
        <v>0.59</v>
      </c>
      <c r="BP28" s="4">
        <v>10291</v>
      </c>
      <c r="BQ28" s="3">
        <v>0.6</v>
      </c>
      <c r="BR28" s="3">
        <v>95.4</v>
      </c>
      <c r="BS28" s="4">
        <v>345</v>
      </c>
      <c r="BT28" s="3">
        <v>0.23</v>
      </c>
      <c r="BU28" s="3">
        <v>7.7</v>
      </c>
      <c r="BV28" s="4">
        <v>4488</v>
      </c>
      <c r="BW28" s="3">
        <v>0.63</v>
      </c>
      <c r="BX28" s="3">
        <v>1.29</v>
      </c>
      <c r="BY28" s="3">
        <v>1.03</v>
      </c>
      <c r="BZ28" s="3">
        <v>1.41</v>
      </c>
      <c r="CA28" s="3">
        <v>16.37</v>
      </c>
      <c r="CB28" s="3">
        <v>39.340000000000003</v>
      </c>
      <c r="CC28" s="3">
        <v>12.68</v>
      </c>
      <c r="CD28" s="3">
        <v>30.47</v>
      </c>
      <c r="CE28" s="3">
        <v>2.86</v>
      </c>
      <c r="CF28" s="3">
        <v>13.15</v>
      </c>
    </row>
    <row r="29" spans="1:84">
      <c r="A29" s="1">
        <v>2024</v>
      </c>
      <c r="B29" t="s">
        <v>87</v>
      </c>
      <c r="C29" s="2">
        <v>45412</v>
      </c>
      <c r="D29" s="4">
        <v>563909598</v>
      </c>
      <c r="E29" s="4">
        <v>596187319</v>
      </c>
      <c r="F29" s="4">
        <v>0</v>
      </c>
      <c r="G29" s="4">
        <v>596187319</v>
      </c>
      <c r="H29" s="3">
        <v>35115.699999999997</v>
      </c>
      <c r="I29" s="4">
        <v>37101</v>
      </c>
      <c r="J29" s="4">
        <v>0</v>
      </c>
      <c r="K29" s="4">
        <v>37101</v>
      </c>
      <c r="L29" s="4">
        <v>601068214</v>
      </c>
      <c r="M29" s="4">
        <v>149206500</v>
      </c>
      <c r="N29" s="4">
        <v>451861714</v>
      </c>
      <c r="O29" s="4">
        <v>132371800</v>
      </c>
      <c r="P29" s="4">
        <v>434123120</v>
      </c>
      <c r="Q29" s="4">
        <v>0</v>
      </c>
      <c r="R29" s="4">
        <v>2890000</v>
      </c>
      <c r="S29" s="4">
        <v>7770895</v>
      </c>
      <c r="T29" s="4">
        <v>-32277721</v>
      </c>
      <c r="U29" s="3">
        <v>-1985.3</v>
      </c>
      <c r="V29" s="4">
        <v>2668582694</v>
      </c>
      <c r="W29" s="4">
        <v>166014</v>
      </c>
      <c r="X29" s="4">
        <v>2095379194</v>
      </c>
      <c r="Y29" s="3">
        <v>78.5</v>
      </c>
      <c r="Z29" s="3">
        <v>22.34</v>
      </c>
      <c r="AA29" s="3">
        <v>22.41</v>
      </c>
      <c r="AB29" s="3">
        <v>21.13</v>
      </c>
      <c r="AC29" s="3">
        <v>0.63</v>
      </c>
      <c r="AD29" s="3">
        <v>0.67</v>
      </c>
      <c r="AE29" s="3">
        <v>0.49</v>
      </c>
      <c r="AF29" s="3">
        <v>0.56000000000000005</v>
      </c>
      <c r="AG29" s="3">
        <v>0.74</v>
      </c>
      <c r="AH29" s="3">
        <v>0.79</v>
      </c>
      <c r="AI29" s="3">
        <v>26265.06</v>
      </c>
      <c r="AJ29" s="3">
        <v>1.63</v>
      </c>
      <c r="AK29" s="3">
        <v>5867.87</v>
      </c>
      <c r="AL29" s="3">
        <v>5550.18</v>
      </c>
      <c r="AM29" s="3">
        <v>19092.810000000001</v>
      </c>
      <c r="AN29" s="3">
        <v>1.19</v>
      </c>
      <c r="AO29" s="3">
        <v>4265.5200000000004</v>
      </c>
      <c r="AP29" s="3">
        <v>4034.58</v>
      </c>
      <c r="AQ29" s="3">
        <v>16170.18</v>
      </c>
      <c r="AR29" s="3">
        <v>19568.37</v>
      </c>
      <c r="AS29" s="3">
        <v>0.24</v>
      </c>
      <c r="AT29" s="3">
        <v>0.21</v>
      </c>
      <c r="AU29" s="4">
        <v>101602</v>
      </c>
      <c r="AV29" s="4">
        <v>32842</v>
      </c>
      <c r="AW29" s="3">
        <v>32.299999999999997</v>
      </c>
      <c r="AX29" s="4">
        <v>68760</v>
      </c>
      <c r="AY29" s="4">
        <v>0</v>
      </c>
      <c r="AZ29" s="4">
        <v>16424</v>
      </c>
      <c r="BA29" s="3">
        <v>16.2</v>
      </c>
      <c r="BB29" s="4">
        <v>12646800</v>
      </c>
      <c r="BC29" s="4">
        <v>133911</v>
      </c>
      <c r="BD29" s="4">
        <v>2530</v>
      </c>
      <c r="BE29" s="4">
        <v>29891</v>
      </c>
      <c r="BF29" s="3">
        <v>22.3</v>
      </c>
      <c r="BG29" s="4">
        <v>139717</v>
      </c>
      <c r="BH29" s="4">
        <v>139769</v>
      </c>
      <c r="BI29" s="4">
        <v>34449</v>
      </c>
      <c r="BJ29" s="4">
        <v>105320</v>
      </c>
      <c r="BK29" s="4">
        <v>388</v>
      </c>
      <c r="BL29" s="3">
        <v>0.33</v>
      </c>
      <c r="BM29" s="4">
        <v>4</v>
      </c>
      <c r="BN29" s="4">
        <v>9756</v>
      </c>
      <c r="BO29" s="3">
        <v>0.55000000000000004</v>
      </c>
      <c r="BP29" s="4">
        <v>9368</v>
      </c>
      <c r="BQ29" s="3">
        <v>0.56999999999999995</v>
      </c>
      <c r="BR29" s="4">
        <v>96</v>
      </c>
      <c r="BS29" s="4">
        <v>226</v>
      </c>
      <c r="BT29" s="3">
        <v>0.23</v>
      </c>
      <c r="BU29" s="4">
        <v>6</v>
      </c>
      <c r="BV29" s="4">
        <v>3781</v>
      </c>
      <c r="BW29" s="3">
        <v>0.56000000000000005</v>
      </c>
      <c r="BX29" s="3">
        <v>1.38</v>
      </c>
      <c r="BY29" s="3">
        <v>1.05</v>
      </c>
      <c r="BZ29" s="3">
        <v>1.53</v>
      </c>
      <c r="CA29" s="3">
        <v>14.33</v>
      </c>
      <c r="CB29" s="3">
        <v>36.97</v>
      </c>
      <c r="CC29" s="3">
        <v>10.41</v>
      </c>
      <c r="CD29" s="3">
        <v>26.87</v>
      </c>
      <c r="CE29" s="3">
        <v>1.78</v>
      </c>
      <c r="CF29" s="3">
        <v>10.77</v>
      </c>
    </row>
    <row r="30" spans="1:84">
      <c r="A30" s="1">
        <v>2024</v>
      </c>
      <c r="B30" t="s">
        <v>88</v>
      </c>
      <c r="C30" s="2">
        <v>45443</v>
      </c>
      <c r="D30" s="3">
        <v>525974630.83999997</v>
      </c>
      <c r="E30" s="4">
        <v>553279908</v>
      </c>
      <c r="F30" s="4">
        <v>0</v>
      </c>
      <c r="G30" s="4">
        <v>553279908</v>
      </c>
      <c r="H30" s="3">
        <v>32766.42</v>
      </c>
      <c r="I30" s="4">
        <v>34446</v>
      </c>
      <c r="J30" s="4">
        <v>0</v>
      </c>
      <c r="K30" s="4">
        <v>34446</v>
      </c>
      <c r="L30" s="4">
        <v>556647101</v>
      </c>
      <c r="M30" s="4">
        <v>135808100</v>
      </c>
      <c r="N30" s="4">
        <v>420839001</v>
      </c>
      <c r="O30" s="4">
        <v>119685620</v>
      </c>
      <c r="P30" s="4">
        <v>403924760</v>
      </c>
      <c r="Q30" s="4">
        <v>0</v>
      </c>
      <c r="R30" s="4">
        <v>2430000</v>
      </c>
      <c r="S30" s="4">
        <v>5797193</v>
      </c>
      <c r="T30" s="3">
        <v>-27305277.16</v>
      </c>
      <c r="U30" s="3">
        <v>-1679.58</v>
      </c>
      <c r="V30" s="4">
        <v>2509612001</v>
      </c>
      <c r="W30" s="4">
        <v>156252</v>
      </c>
      <c r="X30" s="4">
        <v>1982474701</v>
      </c>
      <c r="Y30" s="4">
        <v>79</v>
      </c>
      <c r="Z30" s="3">
        <v>22.05</v>
      </c>
      <c r="AA30" s="3">
        <v>22.08</v>
      </c>
      <c r="AB30" s="3">
        <v>20.96</v>
      </c>
      <c r="AC30" s="3">
        <v>0.63</v>
      </c>
      <c r="AD30" s="3">
        <v>0.71</v>
      </c>
      <c r="AE30" s="3">
        <v>0.48</v>
      </c>
      <c r="AF30" s="3">
        <v>0.54</v>
      </c>
      <c r="AG30" s="3">
        <v>1.01</v>
      </c>
      <c r="AH30" s="3">
        <v>0.99</v>
      </c>
      <c r="AI30" s="3">
        <v>24356.18</v>
      </c>
      <c r="AJ30" s="3">
        <v>1.52</v>
      </c>
      <c r="AK30" s="3">
        <v>5369.67</v>
      </c>
      <c r="AL30" s="3">
        <v>5104.67</v>
      </c>
      <c r="AM30" s="3">
        <v>18156.39</v>
      </c>
      <c r="AN30" s="3">
        <v>1.1299999999999999</v>
      </c>
      <c r="AO30" s="3">
        <v>4002.84</v>
      </c>
      <c r="AP30" s="3">
        <v>3805.29</v>
      </c>
      <c r="AQ30" s="3">
        <v>14741.2</v>
      </c>
      <c r="AR30" s="3">
        <v>18897.87</v>
      </c>
      <c r="AS30" s="3">
        <v>0.23</v>
      </c>
      <c r="AT30" s="3">
        <v>0.21</v>
      </c>
      <c r="AU30" s="4">
        <v>103038</v>
      </c>
      <c r="AV30" s="4">
        <v>33814</v>
      </c>
      <c r="AW30" s="3">
        <v>32.799999999999997</v>
      </c>
      <c r="AX30" s="4">
        <v>69224</v>
      </c>
      <c r="AY30" s="4">
        <v>0</v>
      </c>
      <c r="AZ30" s="4">
        <v>16447</v>
      </c>
      <c r="BA30" s="4">
        <v>16</v>
      </c>
      <c r="BB30" s="4">
        <v>10579000</v>
      </c>
      <c r="BC30" s="4">
        <v>118329</v>
      </c>
      <c r="BD30" s="4">
        <v>1788</v>
      </c>
      <c r="BE30" s="4">
        <v>13634</v>
      </c>
      <c r="BF30" s="3">
        <v>11.5</v>
      </c>
      <c r="BG30" s="4">
        <v>138186</v>
      </c>
      <c r="BH30" s="4">
        <v>138222</v>
      </c>
      <c r="BI30" s="4">
        <v>34705</v>
      </c>
      <c r="BJ30" s="4">
        <v>103517</v>
      </c>
      <c r="BK30" s="4">
        <v>385</v>
      </c>
      <c r="BL30" s="3">
        <v>0.47</v>
      </c>
      <c r="BM30" s="3">
        <v>4.3</v>
      </c>
      <c r="BN30" s="4">
        <v>9045</v>
      </c>
      <c r="BO30" s="3">
        <v>0.56999999999999995</v>
      </c>
      <c r="BP30" s="4">
        <v>8660</v>
      </c>
      <c r="BQ30" s="3">
        <v>0.57999999999999996</v>
      </c>
      <c r="BR30" s="3">
        <v>95.7</v>
      </c>
      <c r="BS30" s="4">
        <v>282</v>
      </c>
      <c r="BT30" s="3">
        <v>0.21</v>
      </c>
      <c r="BU30" s="3">
        <v>7.8</v>
      </c>
      <c r="BV30" s="4">
        <v>3595</v>
      </c>
      <c r="BW30" s="3">
        <v>0.54</v>
      </c>
      <c r="BX30" s="3">
        <v>1.34</v>
      </c>
      <c r="BY30" s="3">
        <v>1.03</v>
      </c>
      <c r="BZ30" s="3">
        <v>1.5</v>
      </c>
      <c r="CA30" s="3">
        <v>15.28</v>
      </c>
      <c r="CB30" s="3">
        <v>38.450000000000003</v>
      </c>
      <c r="CC30" s="3">
        <v>11.39</v>
      </c>
      <c r="CD30" s="3">
        <v>28.66</v>
      </c>
      <c r="CE30" s="3">
        <v>2.4500000000000002</v>
      </c>
      <c r="CF30" s="3">
        <v>11.79</v>
      </c>
    </row>
    <row r="31" spans="1:84">
      <c r="A31" s="1">
        <v>2024</v>
      </c>
      <c r="B31" t="s">
        <v>89</v>
      </c>
      <c r="C31" s="2">
        <v>45473</v>
      </c>
      <c r="D31" s="3">
        <v>494970370.92000002</v>
      </c>
      <c r="E31" s="4">
        <v>520296148</v>
      </c>
      <c r="F31" s="4">
        <v>0</v>
      </c>
      <c r="G31" s="4">
        <v>520296148</v>
      </c>
      <c r="H31" s="3">
        <v>30259.07</v>
      </c>
      <c r="I31" s="4">
        <v>31808</v>
      </c>
      <c r="J31" s="4">
        <v>0</v>
      </c>
      <c r="K31" s="4">
        <v>31808</v>
      </c>
      <c r="L31" s="4">
        <v>522359248</v>
      </c>
      <c r="M31" s="4">
        <v>129167700</v>
      </c>
      <c r="N31" s="4">
        <v>393191548</v>
      </c>
      <c r="O31" s="4">
        <v>113922240</v>
      </c>
      <c r="P31" s="4">
        <v>376786260</v>
      </c>
      <c r="Q31" s="4">
        <v>0</v>
      </c>
      <c r="R31" s="4">
        <v>2300000</v>
      </c>
      <c r="S31" s="4">
        <v>4363100</v>
      </c>
      <c r="T31" s="3">
        <v>-25325777.079999998</v>
      </c>
      <c r="U31" s="3">
        <v>-1548.93</v>
      </c>
      <c r="V31" s="4">
        <v>2327159148</v>
      </c>
      <c r="W31" s="4">
        <v>142288</v>
      </c>
      <c r="X31" s="4">
        <v>1825483348</v>
      </c>
      <c r="Y31" s="3">
        <v>78.400000000000006</v>
      </c>
      <c r="Z31" s="3">
        <v>22.36</v>
      </c>
      <c r="AA31" s="3">
        <v>22.47</v>
      </c>
      <c r="AB31" s="3">
        <v>21.27</v>
      </c>
      <c r="AC31" s="3">
        <v>0.55000000000000004</v>
      </c>
      <c r="AD31" s="3">
        <v>0.63</v>
      </c>
      <c r="AE31" s="3">
        <v>0.43</v>
      </c>
      <c r="AF31" s="3">
        <v>0.48</v>
      </c>
      <c r="AG31" s="3">
        <v>1.01</v>
      </c>
      <c r="AH31" s="3">
        <v>0.97</v>
      </c>
      <c r="AI31" s="3">
        <v>22352.46</v>
      </c>
      <c r="AJ31" s="3">
        <v>1.37</v>
      </c>
      <c r="AK31" s="3">
        <v>4997.47</v>
      </c>
      <c r="AL31" s="3">
        <v>4754.21</v>
      </c>
      <c r="AM31" s="3">
        <v>17393.21</v>
      </c>
      <c r="AN31" s="3">
        <v>1.06</v>
      </c>
      <c r="AO31" s="3">
        <v>3888.7</v>
      </c>
      <c r="AP31" s="3">
        <v>3699.41</v>
      </c>
      <c r="AQ31" s="3">
        <v>14780.37</v>
      </c>
      <c r="AR31" s="3">
        <v>17881.37</v>
      </c>
      <c r="AS31" s="3">
        <v>0.23</v>
      </c>
      <c r="AT31" s="3">
        <v>0.21</v>
      </c>
      <c r="AU31" s="4">
        <v>104112</v>
      </c>
      <c r="AV31" s="4">
        <v>32101</v>
      </c>
      <c r="AW31" s="3">
        <v>30.8</v>
      </c>
      <c r="AX31" s="4">
        <v>72011</v>
      </c>
      <c r="AY31" s="4">
        <v>0</v>
      </c>
      <c r="AZ31" s="4">
        <v>16779</v>
      </c>
      <c r="BA31" s="3">
        <v>16.100000000000001</v>
      </c>
      <c r="BB31" s="4">
        <v>10654500</v>
      </c>
      <c r="BC31" s="4">
        <v>120841</v>
      </c>
      <c r="BD31" s="4">
        <v>1521</v>
      </c>
      <c r="BE31" s="4">
        <v>15170</v>
      </c>
      <c r="BF31" s="3">
        <v>12.6</v>
      </c>
      <c r="BG31" s="4">
        <v>133722</v>
      </c>
      <c r="BH31" s="4">
        <v>133797</v>
      </c>
      <c r="BI31" s="4">
        <v>32974</v>
      </c>
      <c r="BJ31" s="4">
        <v>100823</v>
      </c>
      <c r="BK31" s="4">
        <v>367</v>
      </c>
      <c r="BL31" s="3">
        <v>0.41</v>
      </c>
      <c r="BM31" s="3">
        <v>4.2</v>
      </c>
      <c r="BN31" s="4">
        <v>8745</v>
      </c>
      <c r="BO31" s="3">
        <v>0.56999999999999995</v>
      </c>
      <c r="BP31" s="4">
        <v>8378</v>
      </c>
      <c r="BQ31" s="3">
        <v>0.57999999999999996</v>
      </c>
      <c r="BR31" s="3">
        <v>95.8</v>
      </c>
      <c r="BS31" s="4">
        <v>291</v>
      </c>
      <c r="BT31" s="3">
        <v>0.18</v>
      </c>
      <c r="BU31" s="4">
        <v>8</v>
      </c>
      <c r="BV31" s="4">
        <v>3631</v>
      </c>
      <c r="BW31" s="3">
        <v>0.5</v>
      </c>
      <c r="BX31" s="3">
        <v>1.29</v>
      </c>
      <c r="BY31" s="3">
        <v>1.03</v>
      </c>
      <c r="BZ31" s="3">
        <v>1.4</v>
      </c>
      <c r="CA31" s="3">
        <v>15.3</v>
      </c>
      <c r="CB31" s="3">
        <v>36.85</v>
      </c>
      <c r="CC31" s="3">
        <v>11.91</v>
      </c>
      <c r="CD31" s="3">
        <v>28.67</v>
      </c>
      <c r="CE31" s="3">
        <v>2.23</v>
      </c>
      <c r="CF31" s="3">
        <v>12.33</v>
      </c>
    </row>
    <row r="32" spans="1:84">
      <c r="A32" s="1">
        <v>2024</v>
      </c>
      <c r="B32" t="s">
        <v>90</v>
      </c>
      <c r="C32" s="2">
        <v>45504</v>
      </c>
      <c r="D32" s="3">
        <v>516502744.61000001</v>
      </c>
      <c r="E32" s="4">
        <v>542985585</v>
      </c>
      <c r="F32" s="4">
        <v>0</v>
      </c>
      <c r="G32" s="4">
        <v>542985585</v>
      </c>
      <c r="H32" s="3">
        <v>31808.16</v>
      </c>
      <c r="I32" s="4">
        <v>33436</v>
      </c>
      <c r="J32" s="4">
        <v>0</v>
      </c>
      <c r="K32" s="4">
        <v>33436</v>
      </c>
      <c r="L32" s="4">
        <v>553583285</v>
      </c>
      <c r="M32" s="4">
        <v>132638700</v>
      </c>
      <c r="N32" s="4">
        <v>420944585</v>
      </c>
      <c r="O32" s="4">
        <v>116967400</v>
      </c>
      <c r="P32" s="4">
        <v>402479020</v>
      </c>
      <c r="Q32" s="4">
        <v>0</v>
      </c>
      <c r="R32" s="4">
        <v>2690000</v>
      </c>
      <c r="S32" s="4">
        <v>13287700</v>
      </c>
      <c r="T32" s="3">
        <v>-26482840.390000001</v>
      </c>
      <c r="U32" s="3">
        <v>-1627.84</v>
      </c>
      <c r="V32" s="4">
        <v>2434013785</v>
      </c>
      <c r="W32" s="4">
        <v>149868</v>
      </c>
      <c r="X32" s="4">
        <v>1919263085</v>
      </c>
      <c r="Y32" s="3">
        <v>78.900000000000006</v>
      </c>
      <c r="Z32" s="3">
        <v>22.31</v>
      </c>
      <c r="AA32" s="3">
        <v>22.4</v>
      </c>
      <c r="AB32" s="3">
        <v>21.22</v>
      </c>
      <c r="AC32" s="3">
        <v>0.48</v>
      </c>
      <c r="AD32" s="3">
        <v>0.7</v>
      </c>
      <c r="AE32" s="3">
        <v>0.41</v>
      </c>
      <c r="AF32" s="3">
        <v>0.44</v>
      </c>
      <c r="AG32" s="3">
        <v>1.17</v>
      </c>
      <c r="AH32" s="3">
        <v>1.1399999999999999</v>
      </c>
      <c r="AI32" s="3">
        <v>19933.45</v>
      </c>
      <c r="AJ32" s="3">
        <v>1.23</v>
      </c>
      <c r="AK32" s="3">
        <v>4446.8</v>
      </c>
      <c r="AL32" s="3">
        <v>4229.92</v>
      </c>
      <c r="AM32" s="3">
        <v>16025.69</v>
      </c>
      <c r="AN32" s="3">
        <v>0.99</v>
      </c>
      <c r="AO32" s="3">
        <v>3575.05</v>
      </c>
      <c r="AP32" s="3">
        <v>3400.68</v>
      </c>
      <c r="AQ32" s="3">
        <v>14573.57</v>
      </c>
      <c r="AR32" s="3">
        <v>16119.54</v>
      </c>
      <c r="AS32" s="3">
        <v>0.23</v>
      </c>
      <c r="AT32" s="3">
        <v>0.21</v>
      </c>
      <c r="AU32" s="4">
        <v>122107</v>
      </c>
      <c r="AV32" s="4">
        <v>33396</v>
      </c>
      <c r="AW32" s="3">
        <v>27.3</v>
      </c>
      <c r="AX32" s="4">
        <v>88711</v>
      </c>
      <c r="AY32" s="4">
        <v>0</v>
      </c>
      <c r="AZ32" s="4">
        <v>18640</v>
      </c>
      <c r="BA32" s="3">
        <v>15.3</v>
      </c>
      <c r="BB32" s="4">
        <v>11785800</v>
      </c>
      <c r="BC32" s="4">
        <v>139901</v>
      </c>
      <c r="BD32" s="4">
        <v>1589</v>
      </c>
      <c r="BE32" s="4">
        <v>16289</v>
      </c>
      <c r="BF32" s="3">
        <v>11.6</v>
      </c>
      <c r="BG32" s="4">
        <v>151781</v>
      </c>
      <c r="BH32" s="4">
        <v>151882</v>
      </c>
      <c r="BI32" s="4">
        <v>34284</v>
      </c>
      <c r="BJ32" s="4">
        <v>117598</v>
      </c>
      <c r="BK32" s="4">
        <v>369</v>
      </c>
      <c r="BL32" s="3">
        <v>0.56999999999999995</v>
      </c>
      <c r="BM32" s="3">
        <v>4.4000000000000004</v>
      </c>
      <c r="BN32" s="4">
        <v>8323</v>
      </c>
      <c r="BO32" s="3">
        <v>0.57999999999999996</v>
      </c>
      <c r="BP32" s="4">
        <v>7954</v>
      </c>
      <c r="BQ32" s="3">
        <v>0.57999999999999996</v>
      </c>
      <c r="BR32" s="3">
        <v>95.6</v>
      </c>
      <c r="BS32" s="4">
        <v>341</v>
      </c>
      <c r="BT32" s="3">
        <v>0.25</v>
      </c>
      <c r="BU32" s="3">
        <v>9.4</v>
      </c>
      <c r="BV32" s="4">
        <v>3634</v>
      </c>
      <c r="BW32" s="3">
        <v>0.5</v>
      </c>
      <c r="BX32" s="3">
        <v>1.24</v>
      </c>
      <c r="BY32" s="3">
        <v>1.03</v>
      </c>
      <c r="BZ32" s="3">
        <v>1.33</v>
      </c>
      <c r="CA32" s="3">
        <v>18.25</v>
      </c>
      <c r="CB32" s="3">
        <v>41.79</v>
      </c>
      <c r="CC32" s="3">
        <v>14.67</v>
      </c>
      <c r="CD32" s="3">
        <v>33.6</v>
      </c>
      <c r="CE32" s="3">
        <v>2.2400000000000002</v>
      </c>
      <c r="CF32" s="3">
        <v>15.25</v>
      </c>
    </row>
    <row r="33" spans="1:84">
      <c r="A33" s="1">
        <v>2024</v>
      </c>
      <c r="B33" t="s">
        <v>91</v>
      </c>
      <c r="C33" s="2">
        <v>45535</v>
      </c>
      <c r="D33" s="3">
        <v>504304149.04000002</v>
      </c>
      <c r="E33" s="4">
        <v>530965726</v>
      </c>
      <c r="F33" s="4">
        <v>0</v>
      </c>
      <c r="G33" s="4">
        <v>530965726</v>
      </c>
      <c r="H33" s="3">
        <v>31995.49</v>
      </c>
      <c r="I33" s="4">
        <v>33712</v>
      </c>
      <c r="J33" s="4">
        <v>0</v>
      </c>
      <c r="K33" s="4">
        <v>33712</v>
      </c>
      <c r="L33" s="4">
        <v>555092901</v>
      </c>
      <c r="M33" s="4">
        <v>124320800</v>
      </c>
      <c r="N33" s="4">
        <v>430772101</v>
      </c>
      <c r="O33" s="4">
        <v>109421900</v>
      </c>
      <c r="P33" s="4">
        <v>412922600</v>
      </c>
      <c r="Q33" s="4">
        <v>0</v>
      </c>
      <c r="R33" s="4">
        <v>1800000</v>
      </c>
      <c r="S33" s="4">
        <v>25927175</v>
      </c>
      <c r="T33" s="3">
        <v>-26661576.960000001</v>
      </c>
      <c r="U33" s="3">
        <v>-1716.51</v>
      </c>
      <c r="V33" s="4">
        <v>2450441301</v>
      </c>
      <c r="W33" s="4">
        <v>155537</v>
      </c>
      <c r="X33" s="4">
        <v>1968504301</v>
      </c>
      <c r="Y33" s="3">
        <v>80.3</v>
      </c>
      <c r="Z33" s="3">
        <v>21.67</v>
      </c>
      <c r="AA33" s="3">
        <v>21.74</v>
      </c>
      <c r="AB33" s="3">
        <v>20.58</v>
      </c>
      <c r="AC33" s="3">
        <v>0.48</v>
      </c>
      <c r="AD33" s="3">
        <v>0.65</v>
      </c>
      <c r="AE33" s="3">
        <v>0.45</v>
      </c>
      <c r="AF33" s="3">
        <v>0.47</v>
      </c>
      <c r="AG33" s="3">
        <v>1.01</v>
      </c>
      <c r="AH33" s="4">
        <v>1</v>
      </c>
      <c r="AI33" s="3">
        <v>19813.87</v>
      </c>
      <c r="AJ33" s="3">
        <v>1.26</v>
      </c>
      <c r="AK33" s="3">
        <v>4293.3</v>
      </c>
      <c r="AL33" s="3">
        <v>4077.72</v>
      </c>
      <c r="AM33" s="3">
        <v>16096.76</v>
      </c>
      <c r="AN33" s="3">
        <v>1.02</v>
      </c>
      <c r="AO33" s="3">
        <v>3487.87</v>
      </c>
      <c r="AP33" s="3">
        <v>3312.73</v>
      </c>
      <c r="AQ33" s="3">
        <v>14428.14</v>
      </c>
      <c r="AR33" s="3">
        <v>16235.62</v>
      </c>
      <c r="AS33" s="3">
        <v>0.23</v>
      </c>
      <c r="AT33" s="3">
        <v>0.21</v>
      </c>
      <c r="AU33" s="4">
        <v>123673</v>
      </c>
      <c r="AV33" s="4">
        <v>31584</v>
      </c>
      <c r="AW33" s="3">
        <v>25.5</v>
      </c>
      <c r="AX33" s="4">
        <v>92089</v>
      </c>
      <c r="AY33" s="4">
        <v>0</v>
      </c>
      <c r="AZ33" s="4">
        <v>18289</v>
      </c>
      <c r="BA33" s="3">
        <v>14.8</v>
      </c>
      <c r="BB33" s="4">
        <v>11475800</v>
      </c>
      <c r="BC33" s="4">
        <v>141814</v>
      </c>
      <c r="BD33" s="4">
        <v>1470</v>
      </c>
      <c r="BE33" s="4">
        <v>16754</v>
      </c>
      <c r="BF33" s="3">
        <v>11.8</v>
      </c>
      <c r="BG33" s="4">
        <v>152129</v>
      </c>
      <c r="BH33" s="4">
        <v>152232</v>
      </c>
      <c r="BI33" s="4">
        <v>32391</v>
      </c>
      <c r="BJ33" s="4">
        <v>119841</v>
      </c>
      <c r="BK33" s="4">
        <v>324</v>
      </c>
      <c r="BL33" s="3">
        <v>0.47</v>
      </c>
      <c r="BM33" s="3">
        <v>4.0999999999999996</v>
      </c>
      <c r="BN33" s="4">
        <v>7941</v>
      </c>
      <c r="BO33" s="3">
        <v>0.56999999999999995</v>
      </c>
      <c r="BP33" s="4">
        <v>7617</v>
      </c>
      <c r="BQ33" s="3">
        <v>0.57999999999999996</v>
      </c>
      <c r="BR33" s="3">
        <v>95.9</v>
      </c>
      <c r="BS33" s="4">
        <v>274</v>
      </c>
      <c r="BT33" s="3">
        <v>0.21</v>
      </c>
      <c r="BU33" s="3">
        <v>8.1</v>
      </c>
      <c r="BV33" s="4">
        <v>3368</v>
      </c>
      <c r="BW33" s="3">
        <v>0.46</v>
      </c>
      <c r="BX33" s="3">
        <v>1.23</v>
      </c>
      <c r="BY33" s="3">
        <v>1.03</v>
      </c>
      <c r="BZ33" s="3">
        <v>1.3</v>
      </c>
      <c r="CA33" s="3">
        <v>19.170000000000002</v>
      </c>
      <c r="CB33" s="3">
        <v>45.2</v>
      </c>
      <c r="CC33" s="3">
        <v>15.57</v>
      </c>
      <c r="CD33" s="3">
        <v>36.72</v>
      </c>
      <c r="CE33" s="3">
        <v>2.38</v>
      </c>
      <c r="CF33" s="3">
        <v>16.14</v>
      </c>
    </row>
    <row r="34" spans="1:84">
      <c r="A34" s="1">
        <v>2024</v>
      </c>
      <c r="B34" t="s">
        <v>92</v>
      </c>
      <c r="C34" s="2">
        <v>45565</v>
      </c>
      <c r="D34" s="3">
        <v>409761111.17000002</v>
      </c>
      <c r="E34" s="4">
        <v>432601832</v>
      </c>
      <c r="F34" s="4">
        <v>0</v>
      </c>
      <c r="G34" s="4">
        <v>432601832</v>
      </c>
      <c r="H34" s="3">
        <v>26721.279999999999</v>
      </c>
      <c r="I34" s="4">
        <v>28225</v>
      </c>
      <c r="J34" s="4">
        <v>0</v>
      </c>
      <c r="K34" s="4">
        <v>28225</v>
      </c>
      <c r="L34" s="4">
        <v>471543188</v>
      </c>
      <c r="M34" s="4">
        <v>110970400</v>
      </c>
      <c r="N34" s="4">
        <v>360572788</v>
      </c>
      <c r="O34" s="4">
        <v>97455480</v>
      </c>
      <c r="P34" s="4">
        <v>344506400</v>
      </c>
      <c r="Q34" s="4">
        <v>0</v>
      </c>
      <c r="R34" s="4">
        <v>1380000</v>
      </c>
      <c r="S34" s="4">
        <v>40321356</v>
      </c>
      <c r="T34" s="3">
        <v>-22840720.829999998</v>
      </c>
      <c r="U34" s="3">
        <v>-1503.72</v>
      </c>
      <c r="V34" s="4">
        <v>2099269888</v>
      </c>
      <c r="W34" s="4">
        <v>137012</v>
      </c>
      <c r="X34" s="4">
        <v>1669906188</v>
      </c>
      <c r="Y34" s="3">
        <v>79.5</v>
      </c>
      <c r="Z34" s="3">
        <v>20.61</v>
      </c>
      <c r="AA34" s="3">
        <v>20.65</v>
      </c>
      <c r="AB34" s="3">
        <v>19.52</v>
      </c>
      <c r="AC34" s="3">
        <v>0.38</v>
      </c>
      <c r="AD34" s="3">
        <v>0.51</v>
      </c>
      <c r="AE34" s="3">
        <v>0.36</v>
      </c>
      <c r="AF34" s="3">
        <v>0.38</v>
      </c>
      <c r="AG34" s="3">
        <v>0.92</v>
      </c>
      <c r="AH34" s="3">
        <v>0.91</v>
      </c>
      <c r="AI34" s="3">
        <v>18393.830000000002</v>
      </c>
      <c r="AJ34" s="3">
        <v>1.2</v>
      </c>
      <c r="AK34" s="3">
        <v>3790.46</v>
      </c>
      <c r="AL34" s="3">
        <v>3590.33</v>
      </c>
      <c r="AM34" s="3">
        <v>15198.44</v>
      </c>
      <c r="AN34" s="3">
        <v>0.99</v>
      </c>
      <c r="AO34" s="3">
        <v>3131.98</v>
      </c>
      <c r="AP34" s="3">
        <v>2966.62</v>
      </c>
      <c r="AQ34" s="3">
        <v>14457.59</v>
      </c>
      <c r="AR34" s="3">
        <v>15088.73</v>
      </c>
      <c r="AS34" s="3">
        <v>0.23</v>
      </c>
      <c r="AT34" s="3">
        <v>0.21</v>
      </c>
      <c r="AU34" s="4">
        <v>114129</v>
      </c>
      <c r="AV34" s="4">
        <v>28034</v>
      </c>
      <c r="AW34" s="3">
        <v>24.6</v>
      </c>
      <c r="AX34" s="4">
        <v>86095</v>
      </c>
      <c r="AY34" s="4">
        <v>0</v>
      </c>
      <c r="AZ34" s="4">
        <v>16912</v>
      </c>
      <c r="BA34" s="3">
        <v>14.8</v>
      </c>
      <c r="BB34" s="4">
        <v>10850100</v>
      </c>
      <c r="BC34" s="4">
        <v>130725</v>
      </c>
      <c r="BD34" s="4">
        <v>1334</v>
      </c>
      <c r="BE34" s="4">
        <v>15187</v>
      </c>
      <c r="BF34" s="3">
        <v>11.6</v>
      </c>
      <c r="BG34" s="4">
        <v>138015</v>
      </c>
      <c r="BH34" s="4">
        <v>138124</v>
      </c>
      <c r="BI34" s="4">
        <v>28784</v>
      </c>
      <c r="BJ34" s="4">
        <v>109340</v>
      </c>
      <c r="BK34" s="4">
        <v>297</v>
      </c>
      <c r="BL34" s="3">
        <v>0.42</v>
      </c>
      <c r="BM34" s="4">
        <v>4</v>
      </c>
      <c r="BN34" s="4">
        <v>7369</v>
      </c>
      <c r="BO34" s="3">
        <v>0.55000000000000004</v>
      </c>
      <c r="BP34" s="4">
        <v>7072</v>
      </c>
      <c r="BQ34" s="3">
        <v>0.56000000000000005</v>
      </c>
      <c r="BR34" s="4">
        <v>96</v>
      </c>
      <c r="BS34" s="4">
        <v>236</v>
      </c>
      <c r="BT34" s="3">
        <v>0.17</v>
      </c>
      <c r="BU34" s="3">
        <v>7.9</v>
      </c>
      <c r="BV34" s="4">
        <v>2989</v>
      </c>
      <c r="BW34" s="3">
        <v>0.39</v>
      </c>
      <c r="BX34" s="3">
        <v>1.21</v>
      </c>
      <c r="BY34" s="3">
        <v>1.03</v>
      </c>
      <c r="BZ34" s="3">
        <v>1.27</v>
      </c>
      <c r="CA34" s="3">
        <v>18.739999999999998</v>
      </c>
      <c r="CB34" s="3">
        <v>46.21</v>
      </c>
      <c r="CC34" s="3">
        <v>15.49</v>
      </c>
      <c r="CD34" s="3">
        <v>38.18</v>
      </c>
      <c r="CE34" s="3">
        <v>2.79</v>
      </c>
      <c r="CF34" s="3">
        <v>16.02</v>
      </c>
    </row>
    <row r="35" spans="1:84">
      <c r="A35" s="1">
        <v>2024</v>
      </c>
      <c r="B35" t="s">
        <v>93</v>
      </c>
      <c r="C35" s="2">
        <v>45596</v>
      </c>
      <c r="D35" s="3">
        <v>421408528.10000002</v>
      </c>
      <c r="E35" s="4">
        <v>444810075</v>
      </c>
      <c r="F35" s="4">
        <v>0</v>
      </c>
      <c r="G35" s="4">
        <v>444810075</v>
      </c>
      <c r="H35" s="3">
        <v>27037.26</v>
      </c>
      <c r="I35" s="4">
        <v>28526</v>
      </c>
      <c r="J35" s="4">
        <v>0</v>
      </c>
      <c r="K35" s="4">
        <v>28526</v>
      </c>
      <c r="L35" s="4">
        <v>482557701</v>
      </c>
      <c r="M35" s="4">
        <v>111958400</v>
      </c>
      <c r="N35" s="4">
        <v>370599301</v>
      </c>
      <c r="O35" s="4">
        <v>98111900</v>
      </c>
      <c r="P35" s="4">
        <v>353226800</v>
      </c>
      <c r="Q35" s="4">
        <v>0</v>
      </c>
      <c r="R35" s="4">
        <v>1560000</v>
      </c>
      <c r="S35" s="4">
        <v>39307626</v>
      </c>
      <c r="T35" s="3">
        <v>-23401546.899999999</v>
      </c>
      <c r="U35" s="3">
        <v>-1488.74</v>
      </c>
      <c r="V35" s="4">
        <v>2150814901</v>
      </c>
      <c r="W35" s="4">
        <v>137945</v>
      </c>
      <c r="X35" s="4">
        <v>1718517201</v>
      </c>
      <c r="Y35" s="3">
        <v>79.900000000000006</v>
      </c>
      <c r="Z35" s="3">
        <v>20.68</v>
      </c>
      <c r="AA35" s="3">
        <v>20.72</v>
      </c>
      <c r="AB35" s="3">
        <v>19.59</v>
      </c>
      <c r="AC35" s="3">
        <v>0.42</v>
      </c>
      <c r="AD35" s="3">
        <v>0.56000000000000005</v>
      </c>
      <c r="AE35" s="3">
        <v>0.37</v>
      </c>
      <c r="AF35" s="3">
        <v>0.41</v>
      </c>
      <c r="AG35" s="3">
        <v>0.99</v>
      </c>
      <c r="AH35" s="3">
        <v>1.01</v>
      </c>
      <c r="AI35" s="3">
        <v>19131.28</v>
      </c>
      <c r="AJ35" s="3">
        <v>1.23</v>
      </c>
      <c r="AK35" s="3">
        <v>3956.54</v>
      </c>
      <c r="AL35" s="3">
        <v>3748.39</v>
      </c>
      <c r="AM35" s="3">
        <v>15464.14</v>
      </c>
      <c r="AN35" s="3">
        <v>0.99</v>
      </c>
      <c r="AO35" s="3">
        <v>3198.14</v>
      </c>
      <c r="AP35" s="3">
        <v>3029.89</v>
      </c>
      <c r="AQ35" s="3">
        <v>14480.48</v>
      </c>
      <c r="AR35" s="3">
        <v>15333.31</v>
      </c>
      <c r="AS35" s="3">
        <v>0.23</v>
      </c>
      <c r="AT35" s="3">
        <v>0.21</v>
      </c>
      <c r="AU35" s="4">
        <v>112424</v>
      </c>
      <c r="AV35" s="4">
        <v>28007</v>
      </c>
      <c r="AW35" s="3">
        <v>24.9</v>
      </c>
      <c r="AX35" s="4">
        <v>84417</v>
      </c>
      <c r="AY35" s="4">
        <v>0</v>
      </c>
      <c r="AZ35" s="4">
        <v>18708</v>
      </c>
      <c r="BA35" s="3">
        <v>16.600000000000001</v>
      </c>
      <c r="BB35" s="4">
        <v>12063400</v>
      </c>
      <c r="BC35" s="4">
        <v>128075</v>
      </c>
      <c r="BD35" s="4">
        <v>1289</v>
      </c>
      <c r="BE35" s="4">
        <v>14231</v>
      </c>
      <c r="BF35" s="3">
        <v>11.1</v>
      </c>
      <c r="BG35" s="4">
        <v>138948</v>
      </c>
      <c r="BH35" s="4">
        <v>139084</v>
      </c>
      <c r="BI35" s="4">
        <v>28935</v>
      </c>
      <c r="BJ35" s="4">
        <v>110149</v>
      </c>
      <c r="BK35" s="4">
        <v>265</v>
      </c>
      <c r="BL35" s="3">
        <v>0.44</v>
      </c>
      <c r="BM35" s="3">
        <v>3.8</v>
      </c>
      <c r="BN35" s="4">
        <v>7055</v>
      </c>
      <c r="BO35" s="3">
        <v>0.56000000000000005</v>
      </c>
      <c r="BP35" s="4">
        <v>6790</v>
      </c>
      <c r="BQ35" s="3">
        <v>0.56000000000000005</v>
      </c>
      <c r="BR35" s="3">
        <v>96.2</v>
      </c>
      <c r="BS35" s="4">
        <v>236</v>
      </c>
      <c r="BT35" s="3">
        <v>0.2</v>
      </c>
      <c r="BU35" s="4">
        <v>8</v>
      </c>
      <c r="BV35" s="4">
        <v>2963</v>
      </c>
      <c r="BW35" s="3">
        <v>0.4</v>
      </c>
      <c r="BX35" s="3">
        <v>1.24</v>
      </c>
      <c r="BY35" s="3">
        <v>1.03</v>
      </c>
      <c r="BZ35" s="3">
        <v>1.3</v>
      </c>
      <c r="CA35" s="3">
        <v>19.71</v>
      </c>
      <c r="CB35" s="3">
        <v>46.94</v>
      </c>
      <c r="CC35" s="3">
        <v>15.94</v>
      </c>
      <c r="CD35" s="3">
        <v>37.94</v>
      </c>
      <c r="CE35" s="3">
        <v>1.95</v>
      </c>
      <c r="CF35" s="3">
        <v>16.48</v>
      </c>
    </row>
    <row r="36" spans="1:84">
      <c r="A36" s="1">
        <v>2024</v>
      </c>
      <c r="B36" t="s">
        <v>94</v>
      </c>
      <c r="C36" s="2">
        <v>45626</v>
      </c>
      <c r="D36" s="3">
        <v>383215359.07999998</v>
      </c>
      <c r="E36" s="4">
        <v>404287163</v>
      </c>
      <c r="F36" s="4">
        <v>0</v>
      </c>
      <c r="G36" s="4">
        <v>404287163</v>
      </c>
      <c r="H36" s="3">
        <v>24207.37</v>
      </c>
      <c r="I36" s="4">
        <v>25538</v>
      </c>
      <c r="J36" s="4">
        <v>0</v>
      </c>
      <c r="K36" s="4">
        <v>25538</v>
      </c>
      <c r="L36" s="4">
        <v>438746942</v>
      </c>
      <c r="M36" s="4">
        <v>98892900</v>
      </c>
      <c r="N36" s="4">
        <v>339854042</v>
      </c>
      <c r="O36" s="4">
        <v>86400600</v>
      </c>
      <c r="P36" s="4">
        <v>324140600</v>
      </c>
      <c r="Q36" s="4">
        <v>0</v>
      </c>
      <c r="R36" s="4">
        <v>1910000</v>
      </c>
      <c r="S36" s="4">
        <v>36369779</v>
      </c>
      <c r="T36" s="3">
        <v>-21071803.920000002</v>
      </c>
      <c r="U36" s="3">
        <v>-1330.63</v>
      </c>
      <c r="V36" s="4">
        <v>1936730842</v>
      </c>
      <c r="W36" s="4">
        <v>122355</v>
      </c>
      <c r="X36" s="4">
        <v>1554446942</v>
      </c>
      <c r="Y36" s="3">
        <v>80.3</v>
      </c>
      <c r="Z36" s="3">
        <v>20.87</v>
      </c>
      <c r="AA36" s="3">
        <v>20.88</v>
      </c>
      <c r="AB36" s="3">
        <v>19.79</v>
      </c>
      <c r="AC36" s="3">
        <v>0.4</v>
      </c>
      <c r="AD36" s="3">
        <v>0.49</v>
      </c>
      <c r="AE36" s="3">
        <v>0.33</v>
      </c>
      <c r="AF36" s="3">
        <v>0.37</v>
      </c>
      <c r="AG36" s="3">
        <v>0.86</v>
      </c>
      <c r="AH36" s="3">
        <v>0.88</v>
      </c>
      <c r="AI36" s="3">
        <v>20061.23</v>
      </c>
      <c r="AJ36" s="3">
        <v>1.27</v>
      </c>
      <c r="AK36" s="3">
        <v>4187.7299999999996</v>
      </c>
      <c r="AL36" s="3">
        <v>3969.46</v>
      </c>
      <c r="AM36" s="3">
        <v>15746.68</v>
      </c>
      <c r="AN36" s="3">
        <v>0.99</v>
      </c>
      <c r="AO36" s="3">
        <v>3287.07</v>
      </c>
      <c r="AP36" s="3">
        <v>3115.75</v>
      </c>
      <c r="AQ36" s="3">
        <v>14645.57</v>
      </c>
      <c r="AR36" s="3">
        <v>15349.22</v>
      </c>
      <c r="AS36" s="3">
        <v>0.23</v>
      </c>
      <c r="AT36" s="3">
        <v>0.22</v>
      </c>
      <c r="AU36" s="4">
        <v>96541</v>
      </c>
      <c r="AV36" s="4">
        <v>24501</v>
      </c>
      <c r="AW36" s="3">
        <v>25.4</v>
      </c>
      <c r="AX36" s="4">
        <v>72040</v>
      </c>
      <c r="AY36" s="4">
        <v>0</v>
      </c>
      <c r="AZ36" s="4">
        <v>17202</v>
      </c>
      <c r="BA36" s="3">
        <v>17.8</v>
      </c>
      <c r="BB36" s="4">
        <v>11461100</v>
      </c>
      <c r="BC36" s="4">
        <v>114173</v>
      </c>
      <c r="BD36" s="4">
        <v>935</v>
      </c>
      <c r="BE36" s="4">
        <v>16924</v>
      </c>
      <c r="BF36" s="3">
        <v>14.8</v>
      </c>
      <c r="BG36" s="4">
        <v>122878</v>
      </c>
      <c r="BH36" s="4">
        <v>122993</v>
      </c>
      <c r="BI36" s="4">
        <v>25288</v>
      </c>
      <c r="BJ36" s="4">
        <v>97705</v>
      </c>
      <c r="BK36" s="4">
        <v>226</v>
      </c>
      <c r="BL36" s="3">
        <v>0.44</v>
      </c>
      <c r="BM36" s="3">
        <v>3.5</v>
      </c>
      <c r="BN36" s="4">
        <v>6407</v>
      </c>
      <c r="BO36" s="3">
        <v>0.55000000000000004</v>
      </c>
      <c r="BP36" s="4">
        <v>6181</v>
      </c>
      <c r="BQ36" s="3">
        <v>0.55000000000000004</v>
      </c>
      <c r="BR36" s="3">
        <v>96.5</v>
      </c>
      <c r="BS36" s="4">
        <v>179</v>
      </c>
      <c r="BT36" s="3">
        <v>0.21</v>
      </c>
      <c r="BU36" s="3">
        <v>6.8</v>
      </c>
      <c r="BV36" s="4">
        <v>2621</v>
      </c>
      <c r="BW36" s="3">
        <v>0.38</v>
      </c>
      <c r="BX36" s="3">
        <v>1.27</v>
      </c>
      <c r="BY36" s="3">
        <v>1.03</v>
      </c>
      <c r="BZ36" s="3">
        <v>1.36</v>
      </c>
      <c r="CA36" s="3">
        <v>19.2</v>
      </c>
      <c r="CB36" s="3">
        <v>46.93</v>
      </c>
      <c r="CC36" s="3">
        <v>15.07</v>
      </c>
      <c r="CD36" s="3">
        <v>36.83</v>
      </c>
      <c r="CE36" s="3">
        <v>1.88</v>
      </c>
      <c r="CF36" s="3">
        <v>15.55</v>
      </c>
    </row>
    <row r="37" spans="1:84">
      <c r="A37" s="1">
        <v>2024</v>
      </c>
      <c r="B37" t="s">
        <v>95</v>
      </c>
      <c r="C37" s="2">
        <v>45657</v>
      </c>
      <c r="D37" s="3">
        <v>448390795.68000001</v>
      </c>
      <c r="E37" s="4">
        <v>472092722</v>
      </c>
      <c r="F37" s="4">
        <v>0</v>
      </c>
      <c r="G37" s="4">
        <v>472092722</v>
      </c>
      <c r="H37" s="3">
        <v>27962.31</v>
      </c>
      <c r="I37" s="4">
        <v>29426</v>
      </c>
      <c r="J37" s="4">
        <v>0</v>
      </c>
      <c r="K37" s="4">
        <v>29426</v>
      </c>
      <c r="L37" s="4">
        <v>500984601</v>
      </c>
      <c r="M37" s="4">
        <v>113333800</v>
      </c>
      <c r="N37" s="4">
        <v>387650801</v>
      </c>
      <c r="O37" s="4">
        <v>99076500</v>
      </c>
      <c r="P37" s="4">
        <v>369299200</v>
      </c>
      <c r="Q37" s="4">
        <v>0</v>
      </c>
      <c r="R37" s="4">
        <v>1570000</v>
      </c>
      <c r="S37" s="4">
        <v>30461879</v>
      </c>
      <c r="T37" s="3">
        <v>-23701926.32</v>
      </c>
      <c r="U37" s="3">
        <v>-1463.69</v>
      </c>
      <c r="V37" s="4">
        <v>2178422501</v>
      </c>
      <c r="W37" s="4">
        <v>135791</v>
      </c>
      <c r="X37" s="4">
        <v>1742539201</v>
      </c>
      <c r="Y37" s="4">
        <v>80</v>
      </c>
      <c r="Z37" s="3">
        <v>21.67</v>
      </c>
      <c r="AA37" s="3">
        <v>21.7</v>
      </c>
      <c r="AB37" s="3">
        <v>20.58</v>
      </c>
      <c r="AC37" s="3">
        <v>0.43</v>
      </c>
      <c r="AD37" s="3">
        <v>0.5</v>
      </c>
      <c r="AE37" s="3">
        <v>0.37</v>
      </c>
      <c r="AF37" s="3">
        <v>0.4</v>
      </c>
      <c r="AG37" s="3">
        <v>1.05</v>
      </c>
      <c r="AH37" s="3">
        <v>1.05</v>
      </c>
      <c r="AI37" s="3">
        <v>21562.78</v>
      </c>
      <c r="AJ37" s="3">
        <v>1.34</v>
      </c>
      <c r="AK37" s="3">
        <v>4672.9399999999996</v>
      </c>
      <c r="AL37" s="3">
        <v>4438.33</v>
      </c>
      <c r="AM37" s="3">
        <v>16911.77</v>
      </c>
      <c r="AN37" s="3">
        <v>1.05</v>
      </c>
      <c r="AO37" s="4">
        <v>3665</v>
      </c>
      <c r="AP37" s="4">
        <v>3481</v>
      </c>
      <c r="AQ37" s="3">
        <v>14955.82</v>
      </c>
      <c r="AR37" s="3">
        <v>16945.419999999998</v>
      </c>
      <c r="AS37" s="3">
        <v>0.23</v>
      </c>
      <c r="AT37" s="3">
        <v>0.22</v>
      </c>
      <c r="AU37" s="4">
        <v>101027</v>
      </c>
      <c r="AV37" s="4">
        <v>27060</v>
      </c>
      <c r="AW37" s="3">
        <v>26.8</v>
      </c>
      <c r="AX37" s="4">
        <v>73967</v>
      </c>
      <c r="AY37" s="4">
        <v>0</v>
      </c>
      <c r="AZ37" s="4">
        <v>16487</v>
      </c>
      <c r="BA37" s="3">
        <v>16.3</v>
      </c>
      <c r="BB37" s="4">
        <v>13310300</v>
      </c>
      <c r="BC37" s="4">
        <v>126051</v>
      </c>
      <c r="BD37" s="4">
        <v>1406</v>
      </c>
      <c r="BE37" s="4">
        <v>23608</v>
      </c>
      <c r="BF37" s="3">
        <v>18.7</v>
      </c>
      <c r="BG37" s="4">
        <v>128725</v>
      </c>
      <c r="BH37" s="4">
        <v>128811</v>
      </c>
      <c r="BI37" s="4">
        <v>28203</v>
      </c>
      <c r="BJ37" s="4">
        <v>100608</v>
      </c>
      <c r="BK37" s="4">
        <v>279</v>
      </c>
      <c r="BL37" s="3">
        <v>0.45</v>
      </c>
      <c r="BM37" s="3">
        <v>4.2</v>
      </c>
      <c r="BN37" s="4">
        <v>6685</v>
      </c>
      <c r="BO37" s="3">
        <v>0.55000000000000004</v>
      </c>
      <c r="BP37" s="4">
        <v>6406</v>
      </c>
      <c r="BQ37" s="3">
        <v>0.55000000000000004</v>
      </c>
      <c r="BR37" s="3">
        <v>95.8</v>
      </c>
      <c r="BS37" s="4">
        <v>212</v>
      </c>
      <c r="BT37" s="3">
        <v>0.24</v>
      </c>
      <c r="BU37" s="3">
        <v>7.7</v>
      </c>
      <c r="BV37" s="4">
        <v>2762</v>
      </c>
      <c r="BW37" s="3">
        <v>0.41</v>
      </c>
      <c r="BX37" s="3">
        <v>1.28</v>
      </c>
      <c r="BY37" s="3">
        <v>1.04</v>
      </c>
      <c r="BZ37" s="3">
        <v>1.36</v>
      </c>
      <c r="CA37" s="3">
        <v>19.27</v>
      </c>
      <c r="CB37" s="3">
        <v>46.64</v>
      </c>
      <c r="CC37" s="3">
        <v>15.11</v>
      </c>
      <c r="CD37" s="3">
        <v>36.58</v>
      </c>
      <c r="CE37" s="3">
        <v>2.1</v>
      </c>
      <c r="CF37" s="3">
        <v>15.68</v>
      </c>
    </row>
    <row r="38" spans="1:84">
      <c r="A38" s="1">
        <v>2025</v>
      </c>
      <c r="B38" t="s">
        <v>84</v>
      </c>
      <c r="C38" s="2">
        <v>45688</v>
      </c>
      <c r="D38" s="3">
        <v>390095712.49000001</v>
      </c>
      <c r="E38" s="4">
        <v>410836942</v>
      </c>
      <c r="F38" s="4">
        <v>0</v>
      </c>
      <c r="G38" s="4">
        <v>410836942</v>
      </c>
      <c r="H38" s="3">
        <v>23993.95</v>
      </c>
      <c r="I38" s="4">
        <v>25270</v>
      </c>
      <c r="J38" s="4">
        <v>0</v>
      </c>
      <c r="K38" s="4">
        <v>25270</v>
      </c>
      <c r="L38" s="4">
        <v>434507749</v>
      </c>
      <c r="M38" s="4">
        <v>100155800</v>
      </c>
      <c r="N38" s="4">
        <v>334351949</v>
      </c>
      <c r="O38" s="4">
        <v>87208600</v>
      </c>
      <c r="P38" s="4">
        <v>318492500</v>
      </c>
      <c r="Q38" s="4">
        <v>0</v>
      </c>
      <c r="R38" s="4">
        <v>2470000</v>
      </c>
      <c r="S38" s="4">
        <v>26140807</v>
      </c>
      <c r="T38" s="3">
        <v>-20741229.510000002</v>
      </c>
      <c r="U38" s="3">
        <v>-1276.05</v>
      </c>
      <c r="V38" s="4">
        <v>1906307549</v>
      </c>
      <c r="W38" s="4">
        <v>117257</v>
      </c>
      <c r="X38" s="4">
        <v>1519841449</v>
      </c>
      <c r="Y38" s="3">
        <v>79.7</v>
      </c>
      <c r="Z38" s="3">
        <v>21.55</v>
      </c>
      <c r="AA38" s="3">
        <v>21.65</v>
      </c>
      <c r="AB38" s="3">
        <v>20.46</v>
      </c>
      <c r="AC38" s="3">
        <v>0.5</v>
      </c>
      <c r="AD38" s="3">
        <v>0.56000000000000005</v>
      </c>
      <c r="AE38" s="3">
        <v>0.46</v>
      </c>
      <c r="AF38" s="3">
        <v>0.49</v>
      </c>
      <c r="AG38" s="3">
        <v>0.91</v>
      </c>
      <c r="AH38" s="3">
        <v>0.9</v>
      </c>
      <c r="AI38" s="3">
        <v>20736.740000000002</v>
      </c>
      <c r="AJ38" s="3">
        <v>1.28</v>
      </c>
      <c r="AK38" s="3">
        <v>4469.07</v>
      </c>
      <c r="AL38" s="3">
        <v>4243.45</v>
      </c>
      <c r="AM38" s="3">
        <v>16369.76</v>
      </c>
      <c r="AN38" s="3">
        <v>1.01</v>
      </c>
      <c r="AO38" s="3">
        <v>3527.92</v>
      </c>
      <c r="AP38" s="3">
        <v>3349.81</v>
      </c>
      <c r="AQ38" s="3">
        <v>14590.97</v>
      </c>
      <c r="AR38" s="3">
        <v>16447.37</v>
      </c>
      <c r="AS38" s="3">
        <v>0.23</v>
      </c>
      <c r="AT38" s="3">
        <v>0.21</v>
      </c>
      <c r="AU38" s="4">
        <v>91929</v>
      </c>
      <c r="AV38" s="4">
        <v>24692</v>
      </c>
      <c r="AW38" s="3">
        <v>26.9</v>
      </c>
      <c r="AX38" s="4">
        <v>67237</v>
      </c>
      <c r="AY38" s="4">
        <v>0</v>
      </c>
      <c r="AZ38" s="4">
        <v>15689</v>
      </c>
      <c r="BA38" s="3">
        <v>17.100000000000001</v>
      </c>
      <c r="BB38" s="4">
        <v>11047800</v>
      </c>
      <c r="BC38" s="4">
        <v>107836</v>
      </c>
      <c r="BD38" s="4">
        <v>1297</v>
      </c>
      <c r="BE38" s="4">
        <v>14596</v>
      </c>
      <c r="BF38" s="3">
        <v>13.5</v>
      </c>
      <c r="BG38" s="4">
        <v>116394</v>
      </c>
      <c r="BH38" s="4">
        <v>116453</v>
      </c>
      <c r="BI38" s="4">
        <v>25617</v>
      </c>
      <c r="BJ38" s="4">
        <v>90836</v>
      </c>
      <c r="BK38" s="4">
        <v>208</v>
      </c>
      <c r="BL38" s="3">
        <v>0.43</v>
      </c>
      <c r="BM38" s="3">
        <v>3.4</v>
      </c>
      <c r="BN38" s="4">
        <v>6152</v>
      </c>
      <c r="BO38" s="3">
        <v>0.56000000000000005</v>
      </c>
      <c r="BP38" s="4">
        <v>5944</v>
      </c>
      <c r="BQ38" s="3">
        <v>0.56999999999999995</v>
      </c>
      <c r="BR38" s="3">
        <v>96.6</v>
      </c>
      <c r="BS38" s="4">
        <v>263</v>
      </c>
      <c r="BT38" s="3">
        <v>0.41</v>
      </c>
      <c r="BU38" s="3">
        <v>9.5</v>
      </c>
      <c r="BV38" s="4">
        <v>2762</v>
      </c>
      <c r="BW38" s="3">
        <v>0.47</v>
      </c>
      <c r="BX38" s="3">
        <v>1.27</v>
      </c>
      <c r="BY38" s="3">
        <v>1.04</v>
      </c>
      <c r="BZ38" s="3">
        <v>1.35</v>
      </c>
      <c r="CA38" s="3">
        <v>18.93</v>
      </c>
      <c r="CB38" s="3">
        <v>42.16</v>
      </c>
      <c r="CC38" s="3">
        <v>14.94</v>
      </c>
      <c r="CD38" s="3">
        <v>33.28</v>
      </c>
      <c r="CE38" s="3">
        <v>2.4300000000000002</v>
      </c>
      <c r="CF38" s="3">
        <v>15.38</v>
      </c>
    </row>
    <row r="39" spans="1:84">
      <c r="A39" s="1">
        <v>2025</v>
      </c>
      <c r="B39" t="s">
        <v>85</v>
      </c>
      <c r="C39" s="2">
        <v>45716</v>
      </c>
      <c r="D39" s="3">
        <v>327682660.87</v>
      </c>
      <c r="E39" s="4">
        <v>345449041</v>
      </c>
      <c r="F39" s="4">
        <v>0</v>
      </c>
      <c r="G39" s="4">
        <v>345449041</v>
      </c>
      <c r="H39" s="3">
        <v>20087.23</v>
      </c>
      <c r="I39" s="4">
        <v>21173</v>
      </c>
      <c r="J39" s="4">
        <v>0</v>
      </c>
      <c r="K39" s="4">
        <v>21173</v>
      </c>
      <c r="L39" s="4">
        <v>370016447</v>
      </c>
      <c r="M39" s="4">
        <v>84114100</v>
      </c>
      <c r="N39" s="4">
        <v>285902347</v>
      </c>
      <c r="O39" s="4">
        <v>72963300</v>
      </c>
      <c r="P39" s="4">
        <v>271150200</v>
      </c>
      <c r="Q39" s="4">
        <v>0</v>
      </c>
      <c r="R39" s="4">
        <v>1590400</v>
      </c>
      <c r="S39" s="4">
        <v>26157806</v>
      </c>
      <c r="T39" s="3">
        <v>-17766380.129999999</v>
      </c>
      <c r="U39" s="3">
        <v>-1085.77</v>
      </c>
      <c r="V39" s="4">
        <v>1632015447</v>
      </c>
      <c r="W39" s="4">
        <v>100030</v>
      </c>
      <c r="X39" s="4">
        <v>1307260047</v>
      </c>
      <c r="Y39" s="3">
        <v>80.099999999999994</v>
      </c>
      <c r="Z39" s="3">
        <v>21.17</v>
      </c>
      <c r="AA39" s="3">
        <v>21.2</v>
      </c>
      <c r="AB39" s="3">
        <v>20.079999999999998</v>
      </c>
      <c r="AC39" s="3">
        <v>0.55000000000000004</v>
      </c>
      <c r="AD39" s="3">
        <v>0.54</v>
      </c>
      <c r="AE39" s="3">
        <v>0.63</v>
      </c>
      <c r="AF39" s="3">
        <v>0.61</v>
      </c>
      <c r="AG39" s="3">
        <v>0.92</v>
      </c>
      <c r="AH39" s="3">
        <v>0.9</v>
      </c>
      <c r="AI39" s="3">
        <v>19298.95</v>
      </c>
      <c r="AJ39" s="3">
        <v>1.18</v>
      </c>
      <c r="AK39" s="3">
        <v>4085.01</v>
      </c>
      <c r="AL39" s="3">
        <v>3874.92</v>
      </c>
      <c r="AM39" s="3">
        <v>15624.4</v>
      </c>
      <c r="AN39" s="3">
        <v>0.96</v>
      </c>
      <c r="AO39" s="3">
        <v>3307.22</v>
      </c>
      <c r="AP39" s="3">
        <v>3137.13</v>
      </c>
      <c r="AQ39" s="3">
        <v>14325.13</v>
      </c>
      <c r="AR39" s="3">
        <v>15606.83</v>
      </c>
      <c r="AS39" s="3">
        <v>0.23</v>
      </c>
      <c r="AT39" s="3">
        <v>0.21</v>
      </c>
      <c r="AU39" s="4">
        <v>84565</v>
      </c>
      <c r="AV39" s="4">
        <v>21239</v>
      </c>
      <c r="AW39" s="3">
        <v>25.1</v>
      </c>
      <c r="AX39" s="4">
        <v>63326</v>
      </c>
      <c r="AY39" s="4">
        <v>0</v>
      </c>
      <c r="AZ39" s="4">
        <v>14213</v>
      </c>
      <c r="BA39" s="3">
        <v>16.8</v>
      </c>
      <c r="BB39" s="4">
        <v>10615600</v>
      </c>
      <c r="BC39" s="4">
        <v>98536</v>
      </c>
      <c r="BD39" s="4">
        <v>801</v>
      </c>
      <c r="BE39" s="4">
        <v>13185</v>
      </c>
      <c r="BF39" s="3">
        <v>13.4</v>
      </c>
      <c r="BG39" s="4">
        <v>104375</v>
      </c>
      <c r="BH39" s="4">
        <v>104453</v>
      </c>
      <c r="BI39" s="4">
        <v>21918</v>
      </c>
      <c r="BJ39" s="4">
        <v>82535</v>
      </c>
      <c r="BK39" s="4">
        <v>213</v>
      </c>
      <c r="BL39" s="3">
        <v>0.45</v>
      </c>
      <c r="BM39" s="3">
        <v>3.7</v>
      </c>
      <c r="BN39" s="4">
        <v>5726</v>
      </c>
      <c r="BO39" s="3">
        <v>0.53</v>
      </c>
      <c r="BP39" s="4">
        <v>5513</v>
      </c>
      <c r="BQ39" s="3">
        <v>0.54</v>
      </c>
      <c r="BR39" s="3">
        <v>96.3</v>
      </c>
      <c r="BS39" s="4">
        <v>245</v>
      </c>
      <c r="BT39" s="3">
        <v>0.76</v>
      </c>
      <c r="BU39" s="3">
        <v>9.1999999999999993</v>
      </c>
      <c r="BV39" s="4">
        <v>2654</v>
      </c>
      <c r="BW39" s="3">
        <v>0.56999999999999995</v>
      </c>
      <c r="BX39" s="3">
        <v>1.24</v>
      </c>
      <c r="BY39" s="3">
        <v>1.03</v>
      </c>
      <c r="BZ39" s="3">
        <v>1.3</v>
      </c>
      <c r="CA39" s="3">
        <v>18.239999999999998</v>
      </c>
      <c r="CB39" s="3">
        <v>39.36</v>
      </c>
      <c r="CC39" s="3">
        <v>14.77</v>
      </c>
      <c r="CD39" s="3">
        <v>31.86</v>
      </c>
      <c r="CE39" s="3">
        <v>2.2799999999999998</v>
      </c>
      <c r="CF39" s="3">
        <v>15.25</v>
      </c>
    </row>
    <row r="40" spans="1:84">
      <c r="A40" s="1">
        <v>2025</v>
      </c>
      <c r="B40" t="s">
        <v>86</v>
      </c>
      <c r="C40" s="2">
        <v>45747</v>
      </c>
      <c r="D40" s="3">
        <v>433177656.31</v>
      </c>
      <c r="E40" s="4">
        <v>456413002</v>
      </c>
      <c r="F40" s="4">
        <v>0</v>
      </c>
      <c r="G40" s="4">
        <v>456413002</v>
      </c>
      <c r="H40" s="3">
        <v>26339.62</v>
      </c>
      <c r="I40" s="4">
        <v>27739</v>
      </c>
      <c r="J40" s="4">
        <v>0</v>
      </c>
      <c r="K40" s="4">
        <v>27739</v>
      </c>
      <c r="L40" s="4">
        <v>486471900</v>
      </c>
      <c r="M40" s="4">
        <v>118608800</v>
      </c>
      <c r="N40" s="4">
        <v>367863100</v>
      </c>
      <c r="O40" s="4">
        <v>103077200</v>
      </c>
      <c r="P40" s="4">
        <v>350805200</v>
      </c>
      <c r="Q40" s="4">
        <v>0</v>
      </c>
      <c r="R40" s="4">
        <v>2202000</v>
      </c>
      <c r="S40" s="4">
        <v>32260898</v>
      </c>
      <c r="T40" s="3">
        <v>-23235345.690000001</v>
      </c>
      <c r="U40" s="3">
        <v>-1399.38</v>
      </c>
      <c r="V40" s="4">
        <v>2135539500</v>
      </c>
      <c r="W40" s="4">
        <v>129788</v>
      </c>
      <c r="X40" s="4">
        <v>1682321900</v>
      </c>
      <c r="Y40" s="3">
        <v>78.8</v>
      </c>
      <c r="Z40" s="3">
        <v>21.37</v>
      </c>
      <c r="AA40" s="3">
        <v>21.37</v>
      </c>
      <c r="AB40" s="3">
        <v>20.28</v>
      </c>
      <c r="AC40" s="3">
        <v>0.67</v>
      </c>
      <c r="AD40" s="3">
        <v>0.65</v>
      </c>
      <c r="AE40" s="3">
        <v>0.72</v>
      </c>
      <c r="AF40" s="3">
        <v>0.71</v>
      </c>
      <c r="AG40" s="3">
        <v>1.17</v>
      </c>
      <c r="AH40" s="3">
        <v>1.19</v>
      </c>
      <c r="AI40" s="3">
        <v>21653.35</v>
      </c>
      <c r="AJ40" s="3">
        <v>1.32</v>
      </c>
      <c r="AK40" s="3">
        <v>4627.8100000000004</v>
      </c>
      <c r="AL40" s="3">
        <v>4392.21</v>
      </c>
      <c r="AM40" s="3">
        <v>17119.38</v>
      </c>
      <c r="AN40" s="3">
        <v>1.04</v>
      </c>
      <c r="AO40" s="3">
        <v>3658.8</v>
      </c>
      <c r="AP40" s="3">
        <v>3472.53</v>
      </c>
      <c r="AQ40" s="3">
        <v>15183.61</v>
      </c>
      <c r="AR40" s="3">
        <v>17137.560000000001</v>
      </c>
      <c r="AS40" s="3">
        <v>0.24</v>
      </c>
      <c r="AT40" s="3">
        <v>0.21</v>
      </c>
      <c r="AU40" s="4">
        <v>98624</v>
      </c>
      <c r="AV40" s="4">
        <v>27502</v>
      </c>
      <c r="AW40" s="3">
        <v>27.9</v>
      </c>
      <c r="AX40" s="4">
        <v>71122</v>
      </c>
      <c r="AY40" s="4">
        <v>0</v>
      </c>
      <c r="AZ40" s="4">
        <v>16266</v>
      </c>
      <c r="BA40" s="3">
        <v>16.5</v>
      </c>
      <c r="BB40" s="4">
        <v>12781900</v>
      </c>
      <c r="BC40" s="4">
        <v>123263</v>
      </c>
      <c r="BD40" s="4">
        <v>1706</v>
      </c>
      <c r="BE40" s="4">
        <v>22989</v>
      </c>
      <c r="BF40" s="3">
        <v>18.7</v>
      </c>
      <c r="BG40" s="4">
        <v>124681</v>
      </c>
      <c r="BH40" s="4">
        <v>124744</v>
      </c>
      <c r="BI40" s="4">
        <v>28849</v>
      </c>
      <c r="BJ40" s="4">
        <v>95895</v>
      </c>
      <c r="BK40" s="4">
        <v>344</v>
      </c>
      <c r="BL40" s="3">
        <v>0.7</v>
      </c>
      <c r="BM40" s="3">
        <v>5.3</v>
      </c>
      <c r="BN40" s="4">
        <v>6470</v>
      </c>
      <c r="BO40" s="3">
        <v>0.6</v>
      </c>
      <c r="BP40" s="4">
        <v>6126</v>
      </c>
      <c r="BQ40" s="3">
        <v>0.6</v>
      </c>
      <c r="BR40" s="3">
        <v>94.7</v>
      </c>
      <c r="BS40" s="4">
        <v>221</v>
      </c>
      <c r="BT40" s="3">
        <v>0.64</v>
      </c>
      <c r="BU40" s="3">
        <v>8.1</v>
      </c>
      <c r="BV40" s="4">
        <v>2725</v>
      </c>
      <c r="BW40" s="3">
        <v>0.61</v>
      </c>
      <c r="BX40" s="3">
        <v>1.26</v>
      </c>
      <c r="BY40" s="3">
        <v>1.05</v>
      </c>
      <c r="BZ40" s="3">
        <v>1.35</v>
      </c>
      <c r="CA40" s="3">
        <v>19.28</v>
      </c>
      <c r="CB40" s="3">
        <v>45.78</v>
      </c>
      <c r="CC40" s="3">
        <v>15.24</v>
      </c>
      <c r="CD40" s="3">
        <v>36.19</v>
      </c>
      <c r="CE40" s="3">
        <v>2.61</v>
      </c>
      <c r="CF40" s="3">
        <v>15.95</v>
      </c>
    </row>
    <row r="41" spans="1:84">
      <c r="A41" s="1">
        <v>2025</v>
      </c>
      <c r="B41" t="s">
        <v>87</v>
      </c>
      <c r="C41" s="2">
        <v>45777</v>
      </c>
      <c r="D41" s="3">
        <v>288529446.51999998</v>
      </c>
      <c r="E41" s="4">
        <v>304538284</v>
      </c>
      <c r="F41" s="4">
        <v>0</v>
      </c>
      <c r="G41" s="4">
        <v>304538284</v>
      </c>
      <c r="H41" s="3">
        <v>17173.240000000002</v>
      </c>
      <c r="I41" s="4">
        <v>18127</v>
      </c>
      <c r="J41" s="4">
        <v>0</v>
      </c>
      <c r="K41" s="4">
        <v>18127</v>
      </c>
      <c r="L41" s="4">
        <v>327284600</v>
      </c>
      <c r="M41" s="4">
        <v>66523400</v>
      </c>
      <c r="N41" s="4">
        <v>260761200</v>
      </c>
      <c r="O41" s="4">
        <v>58206600</v>
      </c>
      <c r="P41" s="4">
        <v>250713300</v>
      </c>
      <c r="Q41" s="4">
        <v>0</v>
      </c>
      <c r="R41" s="4">
        <v>1270000</v>
      </c>
      <c r="S41" s="4">
        <v>24016316</v>
      </c>
      <c r="T41" s="3">
        <v>-16008837.48</v>
      </c>
      <c r="U41" s="3">
        <v>-953.76</v>
      </c>
      <c r="V41" s="4">
        <v>1471357700</v>
      </c>
      <c r="W41" s="4">
        <v>87563</v>
      </c>
      <c r="X41" s="4">
        <v>1213421300</v>
      </c>
      <c r="Y41" s="3">
        <v>82.5</v>
      </c>
      <c r="Z41" s="3">
        <v>20.7</v>
      </c>
      <c r="AA41" s="3">
        <v>20.7</v>
      </c>
      <c r="AB41" s="3">
        <v>19.61</v>
      </c>
      <c r="AC41" s="3">
        <v>0.55000000000000004</v>
      </c>
      <c r="AD41" s="3">
        <v>0.51</v>
      </c>
      <c r="AE41" s="3">
        <v>0.69</v>
      </c>
      <c r="AF41" s="3">
        <v>0.65</v>
      </c>
      <c r="AG41" s="3">
        <v>0.71</v>
      </c>
      <c r="AH41" s="3">
        <v>0.73</v>
      </c>
      <c r="AI41" s="3">
        <v>20882.759999999998</v>
      </c>
      <c r="AJ41" s="3">
        <v>1.24</v>
      </c>
      <c r="AK41" s="3">
        <v>4322.2700000000004</v>
      </c>
      <c r="AL41" s="3">
        <v>4095.06</v>
      </c>
      <c r="AM41" s="3">
        <v>16184.95</v>
      </c>
      <c r="AN41" s="3">
        <v>0.96</v>
      </c>
      <c r="AO41" s="3">
        <v>3349.92</v>
      </c>
      <c r="AP41" s="3">
        <v>3173.83</v>
      </c>
      <c r="AQ41" s="3">
        <v>14442.31</v>
      </c>
      <c r="AR41" s="3">
        <v>16244.81</v>
      </c>
      <c r="AS41" s="3">
        <v>0.23</v>
      </c>
      <c r="AT41" s="3">
        <v>0.21</v>
      </c>
      <c r="AU41" s="4">
        <v>70458</v>
      </c>
      <c r="AV41" s="4">
        <v>16723</v>
      </c>
      <c r="AW41" s="3">
        <v>23.7</v>
      </c>
      <c r="AX41" s="4">
        <v>53735</v>
      </c>
      <c r="AY41" s="4">
        <v>0</v>
      </c>
      <c r="AZ41" s="4">
        <v>10030</v>
      </c>
      <c r="BA41" s="3">
        <v>14.2</v>
      </c>
      <c r="BB41" s="4">
        <v>6511500</v>
      </c>
      <c r="BC41" s="4">
        <v>81805</v>
      </c>
      <c r="BD41" s="4">
        <v>601</v>
      </c>
      <c r="BE41" s="4">
        <v>10655</v>
      </c>
      <c r="BF41" s="4">
        <v>13</v>
      </c>
      <c r="BG41" s="4">
        <v>90834</v>
      </c>
      <c r="BH41" s="4">
        <v>90909</v>
      </c>
      <c r="BI41" s="4">
        <v>17295</v>
      </c>
      <c r="BJ41" s="4">
        <v>73614</v>
      </c>
      <c r="BK41" s="4">
        <v>112</v>
      </c>
      <c r="BL41" s="3">
        <v>0.28999999999999998</v>
      </c>
      <c r="BM41" s="3">
        <v>2.2999999999999998</v>
      </c>
      <c r="BN41" s="4">
        <v>4814</v>
      </c>
      <c r="BO41" s="3">
        <v>0.49</v>
      </c>
      <c r="BP41" s="4">
        <v>4702</v>
      </c>
      <c r="BQ41" s="3">
        <v>0.5</v>
      </c>
      <c r="BR41" s="3">
        <v>97.7</v>
      </c>
      <c r="BS41" s="4">
        <v>119</v>
      </c>
      <c r="BT41" s="3">
        <v>0.53</v>
      </c>
      <c r="BU41" s="3">
        <v>5.3</v>
      </c>
      <c r="BV41" s="4">
        <v>2240</v>
      </c>
      <c r="BW41" s="3">
        <v>0.59</v>
      </c>
      <c r="BX41" s="3">
        <v>1.29</v>
      </c>
      <c r="BY41" s="3">
        <v>1.03</v>
      </c>
      <c r="BZ41" s="3">
        <v>1.37</v>
      </c>
      <c r="CA41" s="3">
        <v>18.88</v>
      </c>
      <c r="CB41" s="3">
        <v>40.58</v>
      </c>
      <c r="CC41" s="3">
        <v>14.64</v>
      </c>
      <c r="CD41" s="3">
        <v>31.45</v>
      </c>
      <c r="CE41" s="3">
        <v>5.96</v>
      </c>
      <c r="CF41" s="3">
        <v>14.84</v>
      </c>
    </row>
    <row r="42" spans="1:84">
      <c r="A42" s="1">
        <v>2025</v>
      </c>
      <c r="B42" t="s">
        <v>88</v>
      </c>
      <c r="C42" s="2">
        <v>45808</v>
      </c>
      <c r="D42" s="3">
        <v>322541210.63</v>
      </c>
      <c r="E42" s="4">
        <v>340050184</v>
      </c>
      <c r="F42" s="4">
        <v>0</v>
      </c>
      <c r="G42" s="4">
        <v>340050184</v>
      </c>
      <c r="H42" s="3">
        <v>19619.349999999999</v>
      </c>
      <c r="I42" s="4">
        <v>20694</v>
      </c>
      <c r="J42" s="4">
        <v>0</v>
      </c>
      <c r="K42" s="4">
        <v>20694</v>
      </c>
      <c r="L42" s="4">
        <v>362073525</v>
      </c>
      <c r="M42" s="4">
        <v>73699500</v>
      </c>
      <c r="N42" s="4">
        <v>288374025</v>
      </c>
      <c r="O42" s="4">
        <v>64572100</v>
      </c>
      <c r="P42" s="4">
        <v>274977100</v>
      </c>
      <c r="Q42" s="4">
        <v>0</v>
      </c>
      <c r="R42" s="4">
        <v>1630000</v>
      </c>
      <c r="S42" s="4">
        <v>23653341</v>
      </c>
      <c r="T42" s="3">
        <v>-17508973.370000001</v>
      </c>
      <c r="U42" s="3">
        <v>-1074.6500000000001</v>
      </c>
      <c r="V42" s="4">
        <v>1609563425</v>
      </c>
      <c r="W42" s="4">
        <v>97938</v>
      </c>
      <c r="X42" s="4">
        <v>1323620325</v>
      </c>
      <c r="Y42" s="3">
        <v>82.2</v>
      </c>
      <c r="Z42" s="3">
        <v>21.13</v>
      </c>
      <c r="AA42" s="3">
        <v>21.15</v>
      </c>
      <c r="AB42" s="3">
        <v>20.04</v>
      </c>
      <c r="AC42" s="3">
        <v>0.64</v>
      </c>
      <c r="AD42" s="3">
        <v>0.62</v>
      </c>
      <c r="AE42" s="3">
        <v>0.77</v>
      </c>
      <c r="AF42" s="3">
        <v>0.73</v>
      </c>
      <c r="AG42" s="3">
        <v>1.1299999999999999</v>
      </c>
      <c r="AH42" s="3">
        <v>1.1100000000000001</v>
      </c>
      <c r="AI42" s="3">
        <v>20241.5</v>
      </c>
      <c r="AJ42" s="3">
        <v>1.23</v>
      </c>
      <c r="AK42" s="3">
        <v>4276.3900000000003</v>
      </c>
      <c r="AL42" s="3">
        <v>4056.2</v>
      </c>
      <c r="AM42" s="3">
        <v>15971.54</v>
      </c>
      <c r="AN42" s="3">
        <v>0.97</v>
      </c>
      <c r="AO42" s="3">
        <v>3374.28</v>
      </c>
      <c r="AP42" s="3">
        <v>3200.54</v>
      </c>
      <c r="AQ42" s="3">
        <v>14365.37</v>
      </c>
      <c r="AR42" s="3">
        <v>15986.88</v>
      </c>
      <c r="AS42" s="3">
        <v>0.23</v>
      </c>
      <c r="AT42" s="3">
        <v>0.21</v>
      </c>
      <c r="AU42" s="4">
        <v>79518</v>
      </c>
      <c r="AV42" s="4">
        <v>18760</v>
      </c>
      <c r="AW42" s="3">
        <v>23.6</v>
      </c>
      <c r="AX42" s="4">
        <v>60758</v>
      </c>
      <c r="AY42" s="4">
        <v>0</v>
      </c>
      <c r="AZ42" s="4">
        <v>13415</v>
      </c>
      <c r="BA42" s="3">
        <v>16.899999999999999</v>
      </c>
      <c r="BB42" s="4">
        <v>8593600</v>
      </c>
      <c r="BC42" s="4">
        <v>90267</v>
      </c>
      <c r="BD42" s="4">
        <v>731</v>
      </c>
      <c r="BE42" s="4">
        <v>10043</v>
      </c>
      <c r="BF42" s="3">
        <v>11.1</v>
      </c>
      <c r="BG42" s="4">
        <v>100676</v>
      </c>
      <c r="BH42" s="4">
        <v>100777</v>
      </c>
      <c r="BI42" s="4">
        <v>19276</v>
      </c>
      <c r="BJ42" s="4">
        <v>81501</v>
      </c>
      <c r="BK42" s="4">
        <v>133</v>
      </c>
      <c r="BL42" s="3">
        <v>0.35</v>
      </c>
      <c r="BM42" s="3">
        <v>2.7</v>
      </c>
      <c r="BN42" s="4">
        <v>4887</v>
      </c>
      <c r="BO42" s="3">
        <v>0.54</v>
      </c>
      <c r="BP42" s="4">
        <v>4754</v>
      </c>
      <c r="BQ42" s="3">
        <v>0.55000000000000004</v>
      </c>
      <c r="BR42" s="3">
        <v>97.3</v>
      </c>
      <c r="BS42" s="4">
        <v>191</v>
      </c>
      <c r="BT42" s="3">
        <v>0.68</v>
      </c>
      <c r="BU42" s="3">
        <v>8.1</v>
      </c>
      <c r="BV42" s="4">
        <v>2359</v>
      </c>
      <c r="BW42" s="3">
        <v>0.66</v>
      </c>
      <c r="BX42" s="3">
        <v>1.27</v>
      </c>
      <c r="BY42" s="3">
        <v>1.03</v>
      </c>
      <c r="BZ42" s="3">
        <v>1.34</v>
      </c>
      <c r="CA42" s="3">
        <v>20.62</v>
      </c>
      <c r="CB42" s="3">
        <v>42.72</v>
      </c>
      <c r="CC42" s="3">
        <v>16.27</v>
      </c>
      <c r="CD42" s="3">
        <v>33.71</v>
      </c>
      <c r="CE42" s="3">
        <v>2.29</v>
      </c>
      <c r="CF42" s="3">
        <v>16.66</v>
      </c>
    </row>
    <row r="43" spans="1:84">
      <c r="A43" s="1">
        <v>2025</v>
      </c>
      <c r="B43" t="s">
        <v>89</v>
      </c>
      <c r="C43" s="2">
        <v>45838</v>
      </c>
      <c r="D43" s="3">
        <v>283780996.60000002</v>
      </c>
      <c r="E43" s="4">
        <v>299665351</v>
      </c>
      <c r="F43" s="4">
        <v>0</v>
      </c>
      <c r="G43" s="4">
        <v>299665351</v>
      </c>
      <c r="H43" s="3">
        <v>17389.669999999998</v>
      </c>
      <c r="I43" s="4">
        <v>18368</v>
      </c>
      <c r="J43" s="4">
        <v>0</v>
      </c>
      <c r="K43" s="4">
        <v>18368</v>
      </c>
      <c r="L43" s="4">
        <v>329645273</v>
      </c>
      <c r="M43" s="4">
        <v>65742400</v>
      </c>
      <c r="N43" s="4">
        <v>263902873</v>
      </c>
      <c r="O43" s="4">
        <v>57409400</v>
      </c>
      <c r="P43" s="4">
        <v>251367000</v>
      </c>
      <c r="Q43" s="4">
        <v>0</v>
      </c>
      <c r="R43" s="4">
        <v>1390000</v>
      </c>
      <c r="S43" s="4">
        <v>31369922</v>
      </c>
      <c r="T43" s="3">
        <v>-15884354.4</v>
      </c>
      <c r="U43" s="3">
        <v>-978.33</v>
      </c>
      <c r="V43" s="4">
        <v>1460223373</v>
      </c>
      <c r="W43" s="4">
        <v>89491</v>
      </c>
      <c r="X43" s="4">
        <v>1204522673</v>
      </c>
      <c r="Y43" s="3">
        <v>82.5</v>
      </c>
      <c r="Z43" s="3">
        <v>20.52</v>
      </c>
      <c r="AA43" s="3">
        <v>20.55</v>
      </c>
      <c r="AB43" s="3">
        <v>19.43</v>
      </c>
      <c r="AC43" s="3">
        <v>0.63</v>
      </c>
      <c r="AD43" s="3">
        <v>0.57999999999999996</v>
      </c>
      <c r="AE43" s="3">
        <v>0.72</v>
      </c>
      <c r="AF43" s="3">
        <v>0.7</v>
      </c>
      <c r="AG43" s="3">
        <v>0.94</v>
      </c>
      <c r="AH43" s="3">
        <v>0.93</v>
      </c>
      <c r="AI43" s="3">
        <v>19454.080000000002</v>
      </c>
      <c r="AJ43" s="3">
        <v>1.19</v>
      </c>
      <c r="AK43" s="3">
        <v>3992.34</v>
      </c>
      <c r="AL43" s="3">
        <v>3780.72</v>
      </c>
      <c r="AM43" s="3">
        <v>15643.3</v>
      </c>
      <c r="AN43" s="3">
        <v>0.96</v>
      </c>
      <c r="AO43" s="3">
        <v>3210.3</v>
      </c>
      <c r="AP43" s="3">
        <v>3040.13</v>
      </c>
      <c r="AQ43" s="3">
        <v>14163.19</v>
      </c>
      <c r="AR43" s="3">
        <v>15637.96</v>
      </c>
      <c r="AS43" s="3">
        <v>0.23</v>
      </c>
      <c r="AT43" s="3">
        <v>0.21</v>
      </c>
      <c r="AU43" s="4">
        <v>75060</v>
      </c>
      <c r="AV43" s="4">
        <v>17046</v>
      </c>
      <c r="AW43" s="3">
        <v>22.7</v>
      </c>
      <c r="AX43" s="4">
        <v>58014</v>
      </c>
      <c r="AY43" s="4">
        <v>0</v>
      </c>
      <c r="AZ43" s="4">
        <v>11867</v>
      </c>
      <c r="BA43" s="3">
        <v>15.8</v>
      </c>
      <c r="BB43" s="4">
        <v>8144200</v>
      </c>
      <c r="BC43" s="4">
        <v>84420</v>
      </c>
      <c r="BD43" s="4">
        <v>651</v>
      </c>
      <c r="BE43" s="4">
        <v>8620</v>
      </c>
      <c r="BF43" s="3">
        <v>10.199999999999999</v>
      </c>
      <c r="BG43" s="4">
        <v>93240</v>
      </c>
      <c r="BH43" s="4">
        <v>93345</v>
      </c>
      <c r="BI43" s="4">
        <v>17482</v>
      </c>
      <c r="BJ43" s="4">
        <v>75863</v>
      </c>
      <c r="BK43" s="4">
        <v>133</v>
      </c>
      <c r="BL43" s="3">
        <v>0.36</v>
      </c>
      <c r="BM43" s="3">
        <v>2.9</v>
      </c>
      <c r="BN43" s="4">
        <v>4594</v>
      </c>
      <c r="BO43" s="3">
        <v>0.53</v>
      </c>
      <c r="BP43" s="4">
        <v>4461</v>
      </c>
      <c r="BQ43" s="3">
        <v>0.53</v>
      </c>
      <c r="BR43" s="3">
        <v>97.1</v>
      </c>
      <c r="BS43" s="4">
        <v>188</v>
      </c>
      <c r="BT43" s="3">
        <v>0.65</v>
      </c>
      <c r="BU43" s="3">
        <v>8.1999999999999993</v>
      </c>
      <c r="BV43" s="4">
        <v>2279</v>
      </c>
      <c r="BW43" s="3">
        <v>0.63</v>
      </c>
      <c r="BX43" s="3">
        <v>1.24</v>
      </c>
      <c r="BY43" s="3">
        <v>1.03</v>
      </c>
      <c r="BZ43" s="3">
        <v>1.31</v>
      </c>
      <c r="CA43" s="3">
        <v>20.32</v>
      </c>
      <c r="CB43" s="3">
        <v>40.96</v>
      </c>
      <c r="CC43" s="3">
        <v>16.34</v>
      </c>
      <c r="CD43" s="3">
        <v>32.94</v>
      </c>
      <c r="CE43" s="3">
        <v>2.68</v>
      </c>
      <c r="CF43" s="3">
        <v>16.75</v>
      </c>
    </row>
    <row r="44" spans="1:84">
      <c r="A44" s="1">
        <v>2025</v>
      </c>
      <c r="B44" t="s">
        <v>90</v>
      </c>
      <c r="C44" s="2">
        <v>45869</v>
      </c>
      <c r="D44" s="3">
        <v>301247470.13</v>
      </c>
      <c r="E44" s="4">
        <v>317606870</v>
      </c>
      <c r="F44" s="4">
        <v>0</v>
      </c>
      <c r="G44" s="4">
        <v>317606870</v>
      </c>
      <c r="H44" s="3">
        <v>18516.099999999999</v>
      </c>
      <c r="I44" s="4">
        <v>19514</v>
      </c>
      <c r="J44" s="4">
        <v>0</v>
      </c>
      <c r="K44" s="4">
        <v>19514</v>
      </c>
      <c r="L44" s="4">
        <v>337858870</v>
      </c>
      <c r="M44" s="4">
        <v>65078800</v>
      </c>
      <c r="N44" s="4">
        <v>272780070</v>
      </c>
      <c r="O44" s="4">
        <v>56567200</v>
      </c>
      <c r="P44" s="4">
        <v>260167000</v>
      </c>
      <c r="Q44" s="4">
        <v>0</v>
      </c>
      <c r="R44" s="4">
        <v>2200000</v>
      </c>
      <c r="S44" s="4">
        <v>22452000</v>
      </c>
      <c r="T44" s="3">
        <v>-16359399.869999999</v>
      </c>
      <c r="U44" s="3">
        <v>-997.9</v>
      </c>
      <c r="V44" s="4">
        <v>1503577570</v>
      </c>
      <c r="W44" s="4">
        <v>92374</v>
      </c>
      <c r="X44" s="4">
        <v>1247734670</v>
      </c>
      <c r="Y44" s="4">
        <v>83</v>
      </c>
      <c r="Z44" s="3">
        <v>21.12</v>
      </c>
      <c r="AA44" s="3">
        <v>21.15</v>
      </c>
      <c r="AB44" s="3">
        <v>20.04</v>
      </c>
      <c r="AC44" s="3">
        <v>0.62</v>
      </c>
      <c r="AD44" s="3">
        <v>0.59</v>
      </c>
      <c r="AE44" s="3">
        <v>0.64</v>
      </c>
      <c r="AF44" s="3">
        <v>0.64</v>
      </c>
      <c r="AG44" s="3">
        <v>1.03</v>
      </c>
      <c r="AH44" s="3">
        <v>1.04</v>
      </c>
      <c r="AI44" s="3">
        <v>19365.52</v>
      </c>
      <c r="AJ44" s="3">
        <v>1.19</v>
      </c>
      <c r="AK44" s="3">
        <v>4090.66</v>
      </c>
      <c r="AL44" s="3">
        <v>3879.96</v>
      </c>
      <c r="AM44" s="3">
        <v>15455.87</v>
      </c>
      <c r="AN44" s="3">
        <v>0.95</v>
      </c>
      <c r="AO44" s="3">
        <v>3264.81</v>
      </c>
      <c r="AP44" s="3">
        <v>3096.64</v>
      </c>
      <c r="AQ44" s="3">
        <v>14381.14</v>
      </c>
      <c r="AR44" s="3">
        <v>15354.27</v>
      </c>
      <c r="AS44" s="3">
        <v>0.23</v>
      </c>
      <c r="AT44" s="3">
        <v>0.21</v>
      </c>
      <c r="AU44" s="4">
        <v>77642</v>
      </c>
      <c r="AV44" s="4">
        <v>16790</v>
      </c>
      <c r="AW44" s="3">
        <v>21.6</v>
      </c>
      <c r="AX44" s="4">
        <v>60852</v>
      </c>
      <c r="AY44" s="4">
        <v>0</v>
      </c>
      <c r="AZ44" s="4">
        <v>12061</v>
      </c>
      <c r="BA44" s="3">
        <v>15.5</v>
      </c>
      <c r="BB44" s="4">
        <v>8431400</v>
      </c>
      <c r="BC44" s="4">
        <v>86769</v>
      </c>
      <c r="BD44" s="4">
        <v>640</v>
      </c>
      <c r="BE44" s="4">
        <v>8518</v>
      </c>
      <c r="BF44" s="3">
        <v>9.8000000000000007</v>
      </c>
      <c r="BG44" s="4">
        <v>97176</v>
      </c>
      <c r="BH44" s="4">
        <v>97282</v>
      </c>
      <c r="BI44" s="4">
        <v>17208</v>
      </c>
      <c r="BJ44" s="4">
        <v>80074</v>
      </c>
      <c r="BK44" s="4">
        <v>139</v>
      </c>
      <c r="BL44" s="3">
        <v>0.38</v>
      </c>
      <c r="BM44" s="3">
        <v>3.1</v>
      </c>
      <c r="BN44" s="4">
        <v>4424</v>
      </c>
      <c r="BO44" s="3">
        <v>0.53</v>
      </c>
      <c r="BP44" s="4">
        <v>4285</v>
      </c>
      <c r="BQ44" s="3">
        <v>0.54</v>
      </c>
      <c r="BR44" s="3">
        <v>96.9</v>
      </c>
      <c r="BS44" s="4">
        <v>215</v>
      </c>
      <c r="BT44" s="3">
        <v>0.63</v>
      </c>
      <c r="BU44" s="3">
        <v>9.6</v>
      </c>
      <c r="BV44" s="4">
        <v>2233</v>
      </c>
      <c r="BW44" s="3">
        <v>0.61</v>
      </c>
      <c r="BX44" s="3">
        <v>1.25</v>
      </c>
      <c r="BY44" s="3">
        <v>1.02</v>
      </c>
      <c r="BZ44" s="3">
        <v>1.32</v>
      </c>
      <c r="CA44" s="3">
        <v>21.99</v>
      </c>
      <c r="CB44" s="3">
        <v>43.57</v>
      </c>
      <c r="CC44" s="3">
        <v>17.55</v>
      </c>
      <c r="CD44" s="3">
        <v>34.770000000000003</v>
      </c>
      <c r="CE44" s="3">
        <v>2.4</v>
      </c>
      <c r="CF44" s="3">
        <v>18.04</v>
      </c>
    </row>
    <row r="45" spans="1:84">
      <c r="A45" s="1">
        <v>2025</v>
      </c>
      <c r="B45" t="s">
        <v>91</v>
      </c>
      <c r="C45" s="2">
        <v>45900</v>
      </c>
      <c r="D45" s="3">
        <v>285470686.31</v>
      </c>
      <c r="E45" s="4">
        <v>301157957</v>
      </c>
      <c r="F45" s="4">
        <v>0</v>
      </c>
      <c r="G45" s="4">
        <v>301157957</v>
      </c>
      <c r="H45" s="3">
        <v>17512.41</v>
      </c>
      <c r="I45" s="4">
        <v>18468</v>
      </c>
      <c r="J45" s="4">
        <v>0</v>
      </c>
      <c r="K45" s="4">
        <v>18468</v>
      </c>
      <c r="L45" s="4">
        <v>321333588</v>
      </c>
      <c r="M45" s="4">
        <v>63334100</v>
      </c>
      <c r="N45" s="4">
        <v>257999488</v>
      </c>
      <c r="O45" s="4">
        <v>55138400</v>
      </c>
      <c r="P45" s="4">
        <v>246786600</v>
      </c>
      <c r="Q45" s="4">
        <v>0</v>
      </c>
      <c r="R45" s="4">
        <v>2720000</v>
      </c>
      <c r="S45" s="4">
        <v>22895631</v>
      </c>
      <c r="T45" s="3">
        <v>-15687270.689999999</v>
      </c>
      <c r="U45" s="3">
        <v>-955.59</v>
      </c>
      <c r="V45" s="4">
        <v>1445784788</v>
      </c>
      <c r="W45" s="4">
        <v>88699</v>
      </c>
      <c r="X45" s="4">
        <v>1199843988</v>
      </c>
      <c r="Y45" s="4">
        <v>83</v>
      </c>
      <c r="Z45" s="3">
        <v>20.83</v>
      </c>
      <c r="AA45" s="3">
        <v>20.83</v>
      </c>
      <c r="AB45" s="3">
        <v>19.75</v>
      </c>
      <c r="AC45" s="3">
        <v>0.59</v>
      </c>
      <c r="AD45" s="3">
        <v>0.56999999999999995</v>
      </c>
      <c r="AE45" s="3">
        <v>0.62</v>
      </c>
      <c r="AF45" s="3">
        <v>0.63</v>
      </c>
      <c r="AG45" s="3">
        <v>0.98</v>
      </c>
      <c r="AH45" s="3">
        <v>0.98</v>
      </c>
      <c r="AI45" s="3">
        <v>19016.23</v>
      </c>
      <c r="AJ45" s="3">
        <v>1.17</v>
      </c>
      <c r="AK45" s="3">
        <v>3961.09</v>
      </c>
      <c r="AL45" s="3">
        <v>3754.76</v>
      </c>
      <c r="AM45" s="3">
        <v>15196.23</v>
      </c>
      <c r="AN45" s="3">
        <v>0.93</v>
      </c>
      <c r="AO45" s="3">
        <v>3165.39</v>
      </c>
      <c r="AP45" s="3">
        <v>3000.5</v>
      </c>
      <c r="AQ45" s="3">
        <v>14249.25</v>
      </c>
      <c r="AR45" s="3">
        <v>15077.97</v>
      </c>
      <c r="AS45" s="3">
        <v>0.23</v>
      </c>
      <c r="AT45" s="3">
        <v>0.21</v>
      </c>
      <c r="AU45" s="4">
        <v>76029</v>
      </c>
      <c r="AV45" s="4">
        <v>15983</v>
      </c>
      <c r="AW45" s="4">
        <v>21</v>
      </c>
      <c r="AX45" s="4">
        <v>60046</v>
      </c>
      <c r="AY45" s="4">
        <v>0</v>
      </c>
      <c r="AZ45" s="4">
        <v>11104</v>
      </c>
      <c r="BA45" s="3">
        <v>14.6</v>
      </c>
      <c r="BB45" s="4">
        <v>7240800</v>
      </c>
      <c r="BC45" s="4">
        <v>85993</v>
      </c>
      <c r="BD45" s="4">
        <v>532</v>
      </c>
      <c r="BE45" s="4">
        <v>9433</v>
      </c>
      <c r="BF45" s="4">
        <v>11</v>
      </c>
      <c r="BG45" s="4">
        <v>95051</v>
      </c>
      <c r="BH45" s="4">
        <v>95141</v>
      </c>
      <c r="BI45" s="4">
        <v>16699</v>
      </c>
      <c r="BJ45" s="4">
        <v>78442</v>
      </c>
      <c r="BK45" s="4">
        <v>110</v>
      </c>
      <c r="BL45" s="3">
        <v>0.34</v>
      </c>
      <c r="BM45" s="3">
        <v>2.6</v>
      </c>
      <c r="BN45" s="4">
        <v>4170</v>
      </c>
      <c r="BO45" s="3">
        <v>0.53</v>
      </c>
      <c r="BP45" s="4">
        <v>4060</v>
      </c>
      <c r="BQ45" s="3">
        <v>0.53</v>
      </c>
      <c r="BR45" s="3">
        <v>97.4</v>
      </c>
      <c r="BS45" s="4">
        <v>216</v>
      </c>
      <c r="BT45" s="3">
        <v>0.79</v>
      </c>
      <c r="BU45" s="3">
        <v>10.3</v>
      </c>
      <c r="BV45" s="4">
        <v>2104</v>
      </c>
      <c r="BW45" s="3">
        <v>0.63</v>
      </c>
      <c r="BX45" s="3">
        <v>1.25</v>
      </c>
      <c r="BY45" s="3">
        <v>1.04</v>
      </c>
      <c r="BZ45" s="3">
        <v>1.31</v>
      </c>
      <c r="CA45" s="3">
        <v>22.82</v>
      </c>
      <c r="CB45" s="3">
        <v>45.22</v>
      </c>
      <c r="CC45" s="3">
        <v>18.23</v>
      </c>
      <c r="CD45" s="3">
        <v>36.14</v>
      </c>
      <c r="CE45" s="3">
        <v>3.29</v>
      </c>
      <c r="CF45" s="3">
        <v>18.64</v>
      </c>
    </row>
    <row r="46" spans="1:84">
      <c r="A46" s="1">
        <v>2025</v>
      </c>
      <c r="B46" t="s">
        <v>92</v>
      </c>
      <c r="C46" s="2">
        <v>45930</v>
      </c>
      <c r="D46" s="3">
        <v>254587176.88</v>
      </c>
      <c r="E46" s="4">
        <v>268870502</v>
      </c>
      <c r="F46" s="4">
        <v>0</v>
      </c>
      <c r="G46" s="4">
        <v>268870502</v>
      </c>
      <c r="H46" s="3">
        <v>15432.57</v>
      </c>
      <c r="I46" s="4">
        <v>16289</v>
      </c>
      <c r="J46" s="4">
        <v>0</v>
      </c>
      <c r="K46" s="4">
        <v>16289</v>
      </c>
      <c r="L46" s="4">
        <v>295941227</v>
      </c>
      <c r="M46" s="4">
        <v>57173500</v>
      </c>
      <c r="N46" s="4">
        <v>238767727</v>
      </c>
      <c r="O46" s="4">
        <v>49891700</v>
      </c>
      <c r="P46" s="4">
        <v>228401600</v>
      </c>
      <c r="Q46" s="4">
        <v>0</v>
      </c>
      <c r="R46" s="4">
        <v>1740000</v>
      </c>
      <c r="S46" s="4">
        <v>28810725</v>
      </c>
      <c r="T46" s="3">
        <v>-14283325.119999999</v>
      </c>
      <c r="U46" s="3">
        <v>-856.43</v>
      </c>
      <c r="V46" s="4">
        <v>1312767427</v>
      </c>
      <c r="W46" s="4">
        <v>79543</v>
      </c>
      <c r="X46" s="4">
        <v>1090605827</v>
      </c>
      <c r="Y46" s="3">
        <v>83.1</v>
      </c>
      <c r="Z46" s="3">
        <v>20.48</v>
      </c>
      <c r="AA46" s="3">
        <v>20.48</v>
      </c>
      <c r="AB46" s="3">
        <v>19.39</v>
      </c>
      <c r="AC46" s="3">
        <v>0.63</v>
      </c>
      <c r="AD46" s="3">
        <v>0.62</v>
      </c>
      <c r="AE46" s="3">
        <v>0.56999999999999995</v>
      </c>
      <c r="AF46" s="3">
        <v>0.6</v>
      </c>
      <c r="AG46" s="3">
        <v>0.86</v>
      </c>
      <c r="AH46" s="3">
        <v>0.87</v>
      </c>
      <c r="AI46" s="3">
        <v>20140.96</v>
      </c>
      <c r="AJ46" s="3">
        <v>1.22</v>
      </c>
      <c r="AK46" s="3">
        <v>4125.1099999999997</v>
      </c>
      <c r="AL46" s="3">
        <v>3905.97</v>
      </c>
      <c r="AM46" s="3">
        <v>15829.25</v>
      </c>
      <c r="AN46" s="3">
        <v>0.96</v>
      </c>
      <c r="AO46" s="3">
        <v>3242.02</v>
      </c>
      <c r="AP46" s="3">
        <v>3069.79</v>
      </c>
      <c r="AQ46" s="3">
        <v>14277.38</v>
      </c>
      <c r="AR46" s="3">
        <v>15802.48</v>
      </c>
      <c r="AS46" s="3">
        <v>0.23</v>
      </c>
      <c r="AT46" s="3">
        <v>0.21</v>
      </c>
      <c r="AU46" s="4">
        <v>65179</v>
      </c>
      <c r="AV46" s="4">
        <v>14689</v>
      </c>
      <c r="AW46" s="3">
        <v>22.5</v>
      </c>
      <c r="AX46" s="4">
        <v>50490</v>
      </c>
      <c r="AY46" s="4">
        <v>0</v>
      </c>
      <c r="AZ46" s="4">
        <v>9299</v>
      </c>
      <c r="BA46" s="3">
        <v>14.3</v>
      </c>
      <c r="BB46" s="4">
        <v>6456000</v>
      </c>
      <c r="BC46" s="4">
        <v>74186</v>
      </c>
      <c r="BD46" s="4">
        <v>486</v>
      </c>
      <c r="BE46" s="4">
        <v>8509</v>
      </c>
      <c r="BF46" s="3">
        <v>11.5</v>
      </c>
      <c r="BG46" s="4">
        <v>82859</v>
      </c>
      <c r="BH46" s="4">
        <v>82933</v>
      </c>
      <c r="BI46" s="4">
        <v>15059</v>
      </c>
      <c r="BJ46" s="4">
        <v>67874</v>
      </c>
      <c r="BK46" s="4">
        <v>119</v>
      </c>
      <c r="BL46" s="3">
        <v>0.4</v>
      </c>
      <c r="BM46" s="4">
        <v>3</v>
      </c>
      <c r="BN46" s="4">
        <v>3957</v>
      </c>
      <c r="BO46" s="3">
        <v>0.54</v>
      </c>
      <c r="BP46" s="4">
        <v>3838</v>
      </c>
      <c r="BQ46" s="3">
        <v>0.54</v>
      </c>
      <c r="BR46" s="4">
        <v>97</v>
      </c>
      <c r="BS46" s="4">
        <v>159</v>
      </c>
      <c r="BT46" s="3">
        <v>0.67</v>
      </c>
      <c r="BU46" s="3">
        <v>8.1</v>
      </c>
      <c r="BV46" s="4">
        <v>1965</v>
      </c>
      <c r="BW46" s="3">
        <v>0.66</v>
      </c>
      <c r="BX46" s="3">
        <v>1.27</v>
      </c>
      <c r="BY46" s="3">
        <v>1.03</v>
      </c>
      <c r="BZ46" s="3">
        <v>1.34</v>
      </c>
      <c r="CA46" s="3">
        <v>20.96</v>
      </c>
      <c r="CB46" s="3">
        <v>42.21</v>
      </c>
      <c r="CC46" s="3">
        <v>16.47</v>
      </c>
      <c r="CD46" s="3">
        <v>33.17</v>
      </c>
      <c r="CE46" s="3">
        <v>2.89</v>
      </c>
      <c r="CF46" s="3">
        <v>16.89</v>
      </c>
    </row>
    <row r="47" spans="1:84">
      <c r="A47" s="1">
        <v>2025</v>
      </c>
      <c r="B47" t="s">
        <v>93</v>
      </c>
      <c r="C47" s="2">
        <v>45961</v>
      </c>
      <c r="D47" s="3">
        <v>198523421.97</v>
      </c>
      <c r="E47" s="4">
        <v>211555911</v>
      </c>
      <c r="F47" s="4">
        <v>0</v>
      </c>
      <c r="G47" s="4">
        <v>211555911</v>
      </c>
      <c r="H47" s="3">
        <v>11953.29</v>
      </c>
      <c r="I47" s="4">
        <v>12737</v>
      </c>
      <c r="J47" s="4">
        <v>0</v>
      </c>
      <c r="K47" s="4">
        <v>12737</v>
      </c>
      <c r="L47" s="4">
        <v>264599719</v>
      </c>
      <c r="M47" s="4">
        <v>55304500</v>
      </c>
      <c r="N47" s="4">
        <v>209295219</v>
      </c>
      <c r="O47" s="4">
        <v>48016900</v>
      </c>
      <c r="P47" s="4">
        <v>199644600</v>
      </c>
      <c r="Q47" s="4">
        <v>0</v>
      </c>
      <c r="R47" s="4">
        <v>2910000</v>
      </c>
      <c r="S47" s="4">
        <v>55953808</v>
      </c>
      <c r="T47" s="3">
        <v>-13032489.029999999</v>
      </c>
      <c r="U47" s="3">
        <v>-783.71</v>
      </c>
      <c r="V47" s="4">
        <v>1197786319</v>
      </c>
      <c r="W47" s="4">
        <v>72159</v>
      </c>
      <c r="X47" s="4">
        <v>975581119</v>
      </c>
      <c r="Y47" s="3">
        <v>81.400000000000006</v>
      </c>
      <c r="Z47" s="3">
        <v>17.66</v>
      </c>
      <c r="AA47" s="3">
        <v>17.760000000000002</v>
      </c>
      <c r="AB47" s="3">
        <v>16.57</v>
      </c>
      <c r="AC47" s="3">
        <v>0.56000000000000005</v>
      </c>
      <c r="AD47" s="3">
        <v>0.48</v>
      </c>
      <c r="AE47" s="3">
        <v>0.48</v>
      </c>
      <c r="AF47" s="3">
        <v>0.52</v>
      </c>
      <c r="AG47" s="3">
        <v>0.83</v>
      </c>
      <c r="AH47" s="3">
        <v>0.88</v>
      </c>
      <c r="AI47" s="3">
        <v>22124.28</v>
      </c>
      <c r="AJ47" s="3">
        <v>1.33</v>
      </c>
      <c r="AK47" s="3">
        <v>3907.64</v>
      </c>
      <c r="AL47" s="3">
        <v>3666.92</v>
      </c>
      <c r="AM47" s="3">
        <v>16426.259999999998</v>
      </c>
      <c r="AN47" s="3">
        <v>0.99</v>
      </c>
      <c r="AO47" s="3">
        <v>2901.25</v>
      </c>
      <c r="AP47" s="3">
        <v>2722.52</v>
      </c>
      <c r="AQ47" s="3">
        <v>14159.79</v>
      </c>
      <c r="AR47" s="3">
        <v>16618.75</v>
      </c>
      <c r="AS47" s="3">
        <v>0.22</v>
      </c>
      <c r="AT47" s="3">
        <v>0.21</v>
      </c>
      <c r="AU47" s="4">
        <v>54139</v>
      </c>
      <c r="AV47" s="4">
        <v>14741</v>
      </c>
      <c r="AW47" s="3">
        <v>27.2</v>
      </c>
      <c r="AX47" s="4">
        <v>39398</v>
      </c>
      <c r="AY47" s="4">
        <v>0</v>
      </c>
      <c r="AZ47" s="4">
        <v>7749</v>
      </c>
      <c r="BA47" s="3">
        <v>14.3</v>
      </c>
      <c r="BB47" s="4">
        <v>5750300</v>
      </c>
      <c r="BC47" s="4">
        <v>63949</v>
      </c>
      <c r="BD47" s="4">
        <v>490</v>
      </c>
      <c r="BE47" s="4">
        <v>9370</v>
      </c>
      <c r="BF47" s="3">
        <v>14.7</v>
      </c>
      <c r="BG47" s="4">
        <v>72875</v>
      </c>
      <c r="BH47" s="4">
        <v>72919</v>
      </c>
      <c r="BI47" s="4">
        <v>15186</v>
      </c>
      <c r="BJ47" s="4">
        <v>57733</v>
      </c>
      <c r="BK47" s="4">
        <v>123</v>
      </c>
      <c r="BL47" s="3">
        <v>0.46</v>
      </c>
      <c r="BM47" s="3">
        <v>3.2</v>
      </c>
      <c r="BN47" s="4">
        <v>3827</v>
      </c>
      <c r="BO47" s="3">
        <v>0.54</v>
      </c>
      <c r="BP47" s="4">
        <v>3704</v>
      </c>
      <c r="BQ47" s="3">
        <v>0.55000000000000004</v>
      </c>
      <c r="BR47" s="3">
        <v>96.8</v>
      </c>
      <c r="BS47" s="4">
        <v>124</v>
      </c>
      <c r="BT47" s="3">
        <v>0.53</v>
      </c>
      <c r="BU47" s="4">
        <v>7</v>
      </c>
      <c r="BV47" s="4">
        <v>1762</v>
      </c>
      <c r="BW47" s="3">
        <v>0.6</v>
      </c>
      <c r="BX47" s="3">
        <v>1.35</v>
      </c>
      <c r="BY47" s="3">
        <v>1.03</v>
      </c>
      <c r="BZ47" s="3">
        <v>1.47</v>
      </c>
      <c r="CA47" s="3">
        <v>19.05</v>
      </c>
      <c r="CB47" s="3">
        <v>41.38</v>
      </c>
      <c r="CC47" s="3">
        <v>14.15</v>
      </c>
      <c r="CD47" s="3">
        <v>30.73</v>
      </c>
      <c r="CE47" s="4">
        <v>2</v>
      </c>
      <c r="CF47" s="3">
        <v>14.55</v>
      </c>
    </row>
    <row r="48" spans="1:84">
      <c r="A48" s="1">
        <v>2025</v>
      </c>
      <c r="B48" t="s">
        <v>94</v>
      </c>
      <c r="C48" s="2">
        <v>45991</v>
      </c>
      <c r="D48" s="3">
        <v>213018467.88999999</v>
      </c>
      <c r="E48" s="4">
        <v>225032035</v>
      </c>
      <c r="F48" s="4">
        <v>0</v>
      </c>
      <c r="G48" s="4">
        <v>225032035</v>
      </c>
      <c r="H48" s="3">
        <v>12754.37</v>
      </c>
      <c r="I48" s="4">
        <v>13476</v>
      </c>
      <c r="J48" s="4">
        <v>0</v>
      </c>
      <c r="K48" s="4">
        <v>13476</v>
      </c>
      <c r="L48" s="4">
        <v>243660032</v>
      </c>
      <c r="M48" s="4">
        <v>47029600</v>
      </c>
      <c r="N48" s="4">
        <v>196630432</v>
      </c>
      <c r="O48" s="4">
        <v>40433400</v>
      </c>
      <c r="P48" s="4">
        <v>186982100</v>
      </c>
      <c r="Q48" s="4">
        <v>0</v>
      </c>
      <c r="R48" s="4">
        <v>1375000</v>
      </c>
      <c r="S48" s="4">
        <v>20002997</v>
      </c>
      <c r="T48" s="3">
        <v>-12013567.109999999</v>
      </c>
      <c r="U48" s="3">
        <v>-721.63</v>
      </c>
      <c r="V48" s="4">
        <v>1104214032</v>
      </c>
      <c r="W48" s="4">
        <v>66130</v>
      </c>
      <c r="X48" s="4">
        <v>906431932</v>
      </c>
      <c r="Y48" s="3">
        <v>82.1</v>
      </c>
      <c r="Z48" s="3">
        <v>20.38</v>
      </c>
      <c r="AA48" s="3">
        <v>20.67</v>
      </c>
      <c r="AB48" s="3">
        <v>19.29</v>
      </c>
      <c r="AC48" s="3">
        <v>0.56999999999999995</v>
      </c>
      <c r="AD48" s="3">
        <v>0.56000000000000005</v>
      </c>
      <c r="AE48" s="3">
        <v>0.52</v>
      </c>
      <c r="AF48" s="3">
        <v>0.54</v>
      </c>
      <c r="AG48" s="3">
        <v>0.92</v>
      </c>
      <c r="AH48" s="3">
        <v>0.91</v>
      </c>
      <c r="AI48" s="3">
        <v>22222.06</v>
      </c>
      <c r="AJ48" s="3">
        <v>1.33</v>
      </c>
      <c r="AK48" s="3">
        <v>4528.72</v>
      </c>
      <c r="AL48" s="3">
        <v>4286.95</v>
      </c>
      <c r="AM48" s="3">
        <v>16624.72</v>
      </c>
      <c r="AN48" s="4">
        <v>1</v>
      </c>
      <c r="AO48" s="3">
        <v>3388.02</v>
      </c>
      <c r="AP48" s="3">
        <v>3207.14</v>
      </c>
      <c r="AQ48" s="3">
        <v>13785.81</v>
      </c>
      <c r="AR48" s="3">
        <v>16933.84</v>
      </c>
      <c r="AS48" s="3">
        <v>0.21</v>
      </c>
      <c r="AT48" s="3">
        <v>0.21</v>
      </c>
      <c r="AU48" s="4">
        <v>49690</v>
      </c>
      <c r="AV48" s="4">
        <v>13430</v>
      </c>
      <c r="AW48" s="4">
        <v>27</v>
      </c>
      <c r="AX48" s="4">
        <v>36260</v>
      </c>
      <c r="AY48" s="4">
        <v>0</v>
      </c>
      <c r="AZ48" s="4">
        <v>6970</v>
      </c>
      <c r="BA48" s="4">
        <v>14</v>
      </c>
      <c r="BB48" s="4">
        <v>6115400</v>
      </c>
      <c r="BC48" s="4">
        <v>59359</v>
      </c>
      <c r="BD48" s="4">
        <v>422</v>
      </c>
      <c r="BE48" s="4">
        <v>9158</v>
      </c>
      <c r="BF48" s="3">
        <v>15.4</v>
      </c>
      <c r="BG48" s="4">
        <v>66370</v>
      </c>
      <c r="BH48" s="4">
        <v>66420</v>
      </c>
      <c r="BI48" s="4">
        <v>13872</v>
      </c>
      <c r="BJ48" s="4">
        <v>52548</v>
      </c>
      <c r="BK48" s="4">
        <v>119</v>
      </c>
      <c r="BL48" s="3">
        <v>0.53</v>
      </c>
      <c r="BM48" s="3">
        <v>3.2</v>
      </c>
      <c r="BN48" s="4">
        <v>3674</v>
      </c>
      <c r="BO48" s="3">
        <v>0.56999999999999995</v>
      </c>
      <c r="BP48" s="4">
        <v>3555</v>
      </c>
      <c r="BQ48" s="3">
        <v>0.57999999999999996</v>
      </c>
      <c r="BR48" s="3">
        <v>96.8</v>
      </c>
      <c r="BS48" s="4">
        <v>116</v>
      </c>
      <c r="BT48" s="3">
        <v>0.65</v>
      </c>
      <c r="BU48" s="3">
        <v>7.1</v>
      </c>
      <c r="BV48" s="4">
        <v>1637</v>
      </c>
      <c r="BW48" s="3">
        <v>0.63</v>
      </c>
      <c r="BX48" s="3">
        <v>1.34</v>
      </c>
      <c r="BY48" s="3">
        <v>1.03</v>
      </c>
      <c r="BZ48" s="3">
        <v>1.45</v>
      </c>
      <c r="CA48" s="3">
        <v>18.079999999999998</v>
      </c>
      <c r="CB48" s="3">
        <v>40.57</v>
      </c>
      <c r="CC48" s="3">
        <v>13.52</v>
      </c>
      <c r="CD48" s="3">
        <v>30.35</v>
      </c>
      <c r="CE48" s="3">
        <v>2.5499999999999998</v>
      </c>
      <c r="CF48" s="3">
        <v>13.89</v>
      </c>
    </row>
    <row r="49" spans="1:84">
      <c r="A49" s="1">
        <v>2025</v>
      </c>
      <c r="B49" t="s">
        <v>95</v>
      </c>
      <c r="C49" s="2">
        <v>46022</v>
      </c>
      <c r="D49" s="3">
        <v>308199193.91000003</v>
      </c>
      <c r="E49" s="4">
        <v>325003309</v>
      </c>
      <c r="F49" s="4">
        <v>0</v>
      </c>
      <c r="G49" s="4">
        <v>325003309</v>
      </c>
      <c r="H49" s="3">
        <v>18457.509999999998</v>
      </c>
      <c r="I49" s="4">
        <v>19462</v>
      </c>
      <c r="J49" s="4">
        <v>0</v>
      </c>
      <c r="K49" s="4">
        <v>19462</v>
      </c>
      <c r="L49" s="4">
        <v>349084741</v>
      </c>
      <c r="M49" s="4">
        <v>55861600</v>
      </c>
      <c r="N49" s="4">
        <v>293223141</v>
      </c>
      <c r="O49" s="4">
        <v>48078900</v>
      </c>
      <c r="P49" s="4">
        <v>283388500</v>
      </c>
      <c r="Q49" s="4">
        <v>0</v>
      </c>
      <c r="R49" s="4">
        <v>2340000</v>
      </c>
      <c r="S49" s="4">
        <v>26421432</v>
      </c>
      <c r="T49" s="3">
        <v>-16804115.09</v>
      </c>
      <c r="U49" s="3">
        <v>-1004.49</v>
      </c>
      <c r="V49" s="4">
        <v>1544500941</v>
      </c>
      <c r="W49" s="4">
        <v>92489</v>
      </c>
      <c r="X49" s="4">
        <v>1307652841</v>
      </c>
      <c r="Y49" s="3">
        <v>84.7</v>
      </c>
      <c r="Z49" s="3">
        <v>21.04</v>
      </c>
      <c r="AA49" s="3">
        <v>21.26</v>
      </c>
      <c r="AB49" s="3">
        <v>19.95</v>
      </c>
      <c r="AC49" s="3">
        <v>0.71</v>
      </c>
      <c r="AD49" s="3">
        <v>0.69</v>
      </c>
      <c r="AE49" s="3">
        <v>0.56000000000000005</v>
      </c>
      <c r="AF49" s="3">
        <v>0.62</v>
      </c>
      <c r="AG49" s="3">
        <v>1.1299999999999999</v>
      </c>
      <c r="AH49" s="3">
        <v>1.2</v>
      </c>
      <c r="AI49" s="3">
        <v>27494.45</v>
      </c>
      <c r="AJ49" s="3">
        <v>1.65</v>
      </c>
      <c r="AK49" s="3">
        <v>5785.55</v>
      </c>
      <c r="AL49" s="3">
        <v>5486.41</v>
      </c>
      <c r="AM49" s="3">
        <v>19408.400000000001</v>
      </c>
      <c r="AN49" s="3">
        <v>1.1599999999999999</v>
      </c>
      <c r="AO49" s="3">
        <v>4084.03</v>
      </c>
      <c r="AP49" s="3">
        <v>3872.87</v>
      </c>
      <c r="AQ49" s="3">
        <v>14225.09</v>
      </c>
      <c r="AR49" s="3">
        <v>20059.66</v>
      </c>
      <c r="AS49" s="3">
        <v>0.21</v>
      </c>
      <c r="AT49" s="3">
        <v>0.22</v>
      </c>
      <c r="AU49" s="4">
        <v>56175</v>
      </c>
      <c r="AV49" s="4">
        <v>15281</v>
      </c>
      <c r="AW49" s="3">
        <v>27.2</v>
      </c>
      <c r="AX49" s="4">
        <v>40894</v>
      </c>
      <c r="AY49" s="4">
        <v>0</v>
      </c>
      <c r="AZ49" s="4">
        <v>7582</v>
      </c>
      <c r="BA49" s="3">
        <v>13.5</v>
      </c>
      <c r="BB49" s="4">
        <v>5742600</v>
      </c>
      <c r="BC49" s="4">
        <v>71035</v>
      </c>
      <c r="BD49" s="4">
        <v>797</v>
      </c>
      <c r="BE49" s="4">
        <v>14175</v>
      </c>
      <c r="BF49" s="4">
        <v>20</v>
      </c>
      <c r="BG49" s="4">
        <v>79540</v>
      </c>
      <c r="BH49" s="4">
        <v>79579</v>
      </c>
      <c r="BI49" s="4">
        <v>16112</v>
      </c>
      <c r="BJ49" s="4">
        <v>63467</v>
      </c>
      <c r="BK49" s="4">
        <v>158</v>
      </c>
      <c r="BL49" s="3">
        <v>0.56999999999999995</v>
      </c>
      <c r="BM49" s="3">
        <v>4.0999999999999996</v>
      </c>
      <c r="BN49" s="4">
        <v>3881</v>
      </c>
      <c r="BO49" s="3">
        <v>0.57999999999999996</v>
      </c>
      <c r="BP49" s="4">
        <v>3723</v>
      </c>
      <c r="BQ49" s="3">
        <v>0.57999999999999996</v>
      </c>
      <c r="BR49" s="3">
        <v>95.9</v>
      </c>
      <c r="BS49" s="4">
        <v>161</v>
      </c>
      <c r="BT49" s="3">
        <v>0.76</v>
      </c>
      <c r="BU49" s="4">
        <v>9</v>
      </c>
      <c r="BV49" s="4">
        <v>1796</v>
      </c>
      <c r="BW49" s="3">
        <v>0.65</v>
      </c>
      <c r="BX49" s="3">
        <v>1.42</v>
      </c>
      <c r="BY49" s="3">
        <v>1.05</v>
      </c>
      <c r="BZ49" s="3">
        <v>1.55</v>
      </c>
      <c r="CA49" s="3">
        <v>20.5</v>
      </c>
      <c r="CB49" s="3">
        <v>44.31</v>
      </c>
      <c r="CC49" s="3">
        <v>14.47</v>
      </c>
      <c r="CD49" s="3">
        <v>31.28</v>
      </c>
      <c r="CE49" s="3">
        <v>3.82</v>
      </c>
      <c r="CF49" s="3">
        <v>14.93</v>
      </c>
    </row>
    <row r="50" spans="1:84">
      <c r="A50" s="1">
        <v>2026</v>
      </c>
      <c r="B50" t="s">
        <v>84</v>
      </c>
      <c r="C50" s="2">
        <v>46053</v>
      </c>
      <c r="D50" s="3">
        <v>263885739.22</v>
      </c>
      <c r="E50" s="4">
        <v>277549567</v>
      </c>
      <c r="F50" s="4">
        <v>0</v>
      </c>
      <c r="G50" s="4">
        <v>277549567</v>
      </c>
      <c r="H50" s="3">
        <v>15697.05</v>
      </c>
      <c r="I50" s="4">
        <v>16511</v>
      </c>
      <c r="J50" s="4">
        <v>0</v>
      </c>
      <c r="K50" s="4">
        <v>16511</v>
      </c>
      <c r="L50" s="4">
        <v>300246190</v>
      </c>
      <c r="M50" s="4">
        <v>42429200</v>
      </c>
      <c r="N50" s="4">
        <v>257816990</v>
      </c>
      <c r="O50" s="4">
        <v>36485700</v>
      </c>
      <c r="P50" s="4">
        <v>248569300</v>
      </c>
      <c r="Q50" s="4">
        <v>0</v>
      </c>
      <c r="R50" s="4">
        <v>1510000</v>
      </c>
      <c r="S50" s="4">
        <v>24206623</v>
      </c>
      <c r="T50" s="3">
        <v>-13663827.779999999</v>
      </c>
      <c r="U50" s="3">
        <v>-813.95</v>
      </c>
      <c r="V50" s="4">
        <v>1255829990</v>
      </c>
      <c r="W50" s="4">
        <v>74688</v>
      </c>
      <c r="X50" s="4">
        <v>1076328590</v>
      </c>
      <c r="Y50" s="3">
        <v>85.7</v>
      </c>
      <c r="Z50" s="3">
        <v>22.1</v>
      </c>
      <c r="AA50" s="3">
        <v>22.4</v>
      </c>
      <c r="AB50" s="3">
        <v>21.01</v>
      </c>
      <c r="AC50" s="3">
        <v>0.66</v>
      </c>
      <c r="AD50" s="3">
        <v>0.68</v>
      </c>
      <c r="AE50" s="3">
        <v>0.49</v>
      </c>
      <c r="AF50" s="3">
        <v>0.54</v>
      </c>
      <c r="AG50" s="3">
        <v>0.8</v>
      </c>
      <c r="AH50" s="3">
        <v>0.79</v>
      </c>
      <c r="AI50" s="3">
        <v>27870.79</v>
      </c>
      <c r="AJ50" s="3">
        <v>1.66</v>
      </c>
      <c r="AK50" s="3">
        <v>6159.69</v>
      </c>
      <c r="AL50" s="3">
        <v>5856.45</v>
      </c>
      <c r="AM50" s="3">
        <v>20011.310000000001</v>
      </c>
      <c r="AN50" s="3">
        <v>1.19</v>
      </c>
      <c r="AO50" s="3">
        <v>4422.68</v>
      </c>
      <c r="AP50" s="3">
        <v>4204.95</v>
      </c>
      <c r="AQ50" s="3">
        <v>14041.68</v>
      </c>
      <c r="AR50" s="3">
        <v>21034.75</v>
      </c>
      <c r="AS50" s="3">
        <v>0.21</v>
      </c>
      <c r="AT50" s="3">
        <v>0.23</v>
      </c>
      <c r="AU50" s="4">
        <v>45059</v>
      </c>
      <c r="AV50" s="4">
        <v>11935</v>
      </c>
      <c r="AW50" s="3">
        <v>26.5</v>
      </c>
      <c r="AX50" s="4">
        <v>33124</v>
      </c>
      <c r="AY50" s="4">
        <v>0</v>
      </c>
      <c r="AZ50" s="4">
        <v>5792</v>
      </c>
      <c r="BA50" s="3">
        <v>12.9</v>
      </c>
      <c r="BB50" s="4">
        <v>5851100</v>
      </c>
      <c r="BC50" s="4">
        <v>53301</v>
      </c>
      <c r="BD50" s="4">
        <v>382</v>
      </c>
      <c r="BE50" s="4">
        <v>7803</v>
      </c>
      <c r="BF50" s="3">
        <v>14.6</v>
      </c>
      <c r="BG50" s="4">
        <v>62733</v>
      </c>
      <c r="BH50" s="4">
        <v>62756</v>
      </c>
      <c r="BI50" s="4">
        <v>12367</v>
      </c>
      <c r="BJ50" s="4">
        <v>50389</v>
      </c>
      <c r="BK50" s="4">
        <v>97</v>
      </c>
      <c r="BL50" s="3">
        <v>0.47</v>
      </c>
      <c r="BM50" s="3">
        <v>2.8</v>
      </c>
      <c r="BN50" s="4">
        <v>3428</v>
      </c>
      <c r="BO50" s="3">
        <v>0.56000000000000005</v>
      </c>
      <c r="BP50" s="4">
        <v>3331</v>
      </c>
      <c r="BQ50" s="3">
        <v>0.56000000000000005</v>
      </c>
      <c r="BR50" s="3">
        <v>97.2</v>
      </c>
      <c r="BS50" s="4">
        <v>140</v>
      </c>
      <c r="BT50" s="3">
        <v>0.53</v>
      </c>
      <c r="BU50" s="3">
        <v>8.6</v>
      </c>
      <c r="BV50" s="4">
        <v>1637</v>
      </c>
      <c r="BW50" s="3">
        <v>0.59</v>
      </c>
      <c r="BX50" s="3">
        <v>1.39</v>
      </c>
      <c r="BY50" s="3">
        <v>1.04</v>
      </c>
      <c r="BZ50" s="3">
        <v>1.52</v>
      </c>
      <c r="CA50" s="3">
        <v>18.309999999999999</v>
      </c>
      <c r="CB50" s="3">
        <v>38.340000000000003</v>
      </c>
      <c r="CC50" s="3">
        <v>13.14</v>
      </c>
      <c r="CD50" s="3">
        <v>27.53</v>
      </c>
      <c r="CE50" s="3">
        <v>1.76</v>
      </c>
      <c r="CF50" s="3">
        <v>13.48</v>
      </c>
    </row>
    <row r="51" spans="1:84">
      <c r="A51" s="5">
        <v>2026</v>
      </c>
      <c r="B51" s="6">
        <v>2</v>
      </c>
      <c r="C51" s="2">
        <v>46081</v>
      </c>
      <c r="D51" s="7">
        <v>200597176.84999999</v>
      </c>
      <c r="E51" s="8">
        <v>214930018</v>
      </c>
      <c r="F51" s="5">
        <v>0</v>
      </c>
      <c r="G51" s="8">
        <v>214930018</v>
      </c>
      <c r="H51" s="7">
        <v>11921.38</v>
      </c>
      <c r="I51" s="8">
        <v>12776</v>
      </c>
      <c r="J51" s="5">
        <v>0</v>
      </c>
      <c r="K51" s="8">
        <v>12776</v>
      </c>
      <c r="L51" s="8">
        <v>287106500</v>
      </c>
      <c r="M51" s="8">
        <v>44808900</v>
      </c>
      <c r="N51" s="8">
        <v>242297600</v>
      </c>
      <c r="O51" s="8">
        <v>38544000</v>
      </c>
      <c r="P51" s="8">
        <v>234195100</v>
      </c>
      <c r="Q51" s="5">
        <v>0</v>
      </c>
      <c r="R51" s="8">
        <v>1000000</v>
      </c>
      <c r="S51" s="8">
        <v>73176482</v>
      </c>
      <c r="T51" s="7">
        <v>-14332841.15</v>
      </c>
      <c r="U51" s="5">
        <v>-854.62</v>
      </c>
      <c r="V51" s="8">
        <v>1317318400</v>
      </c>
      <c r="W51" s="8">
        <v>78336</v>
      </c>
      <c r="X51" s="8">
        <v>1127433800</v>
      </c>
      <c r="Y51" s="5">
        <v>85.6</v>
      </c>
      <c r="Z51" s="5">
        <v>16.32</v>
      </c>
      <c r="AA51" s="5">
        <v>16.510000000000002</v>
      </c>
      <c r="AB51" s="5">
        <v>15.23</v>
      </c>
      <c r="AC51" s="5">
        <v>0.81</v>
      </c>
      <c r="AD51" s="5">
        <v>0.62</v>
      </c>
      <c r="AE51" s="5">
        <v>0.47</v>
      </c>
      <c r="AF51" s="5">
        <v>0.55000000000000004</v>
      </c>
      <c r="AG51" s="5">
        <v>0.88</v>
      </c>
      <c r="AH51" s="5">
        <v>0.91</v>
      </c>
      <c r="AI51" s="7">
        <v>33175.97</v>
      </c>
      <c r="AJ51" s="5">
        <v>1.97</v>
      </c>
      <c r="AK51" s="7">
        <v>5412.9</v>
      </c>
      <c r="AL51" s="7">
        <v>5051.93</v>
      </c>
      <c r="AM51" s="7">
        <v>22987.040000000001</v>
      </c>
      <c r="AN51" s="5">
        <v>1.37</v>
      </c>
      <c r="AO51" s="7">
        <v>3750.5</v>
      </c>
      <c r="AP51" s="7">
        <v>3500.4</v>
      </c>
      <c r="AQ51" s="7">
        <v>14155.32</v>
      </c>
      <c r="AR51" s="7">
        <v>24930.639999999999</v>
      </c>
      <c r="AS51" s="5">
        <v>0.21</v>
      </c>
      <c r="AT51" s="5">
        <v>0.21</v>
      </c>
      <c r="AU51" s="8">
        <v>39707</v>
      </c>
      <c r="AV51" s="8">
        <v>12211</v>
      </c>
      <c r="AW51" s="5">
        <v>30.8</v>
      </c>
      <c r="AX51" s="8">
        <v>27496</v>
      </c>
      <c r="AY51" s="5">
        <v>0</v>
      </c>
      <c r="AZ51" s="8">
        <v>5157</v>
      </c>
      <c r="BA51" s="5">
        <v>13</v>
      </c>
      <c r="BB51" s="8">
        <v>4382400</v>
      </c>
      <c r="BC51" s="8">
        <v>50798</v>
      </c>
      <c r="BD51" s="5">
        <v>597</v>
      </c>
      <c r="BE51" s="8">
        <v>10489</v>
      </c>
      <c r="BF51" s="5">
        <v>20.6</v>
      </c>
      <c r="BG51" s="8">
        <v>57293</v>
      </c>
      <c r="BH51" s="8">
        <v>57307</v>
      </c>
      <c r="BI51" s="8">
        <v>12973</v>
      </c>
      <c r="BJ51" s="8">
        <v>44334</v>
      </c>
      <c r="BK51" s="5">
        <v>136</v>
      </c>
      <c r="BL51" s="5">
        <v>0.64</v>
      </c>
      <c r="BM51" s="5">
        <v>3.9</v>
      </c>
      <c r="BN51" s="8">
        <v>3493</v>
      </c>
      <c r="BO51" s="5">
        <v>0.61</v>
      </c>
      <c r="BP51" s="8">
        <v>3357</v>
      </c>
      <c r="BQ51" s="5">
        <v>0.61</v>
      </c>
      <c r="BR51" s="5">
        <v>96.1</v>
      </c>
      <c r="BS51" s="5">
        <v>167</v>
      </c>
      <c r="BT51" s="5">
        <v>0.68</v>
      </c>
      <c r="BU51" s="5">
        <v>10.3</v>
      </c>
      <c r="BV51" s="8">
        <v>1616</v>
      </c>
      <c r="BW51" s="5">
        <v>0.61</v>
      </c>
      <c r="BX51" s="5">
        <v>1.44</v>
      </c>
      <c r="BY51" s="5">
        <v>1.06</v>
      </c>
      <c r="BZ51" s="5">
        <v>1.61</v>
      </c>
      <c r="CA51" s="5">
        <v>16.41</v>
      </c>
      <c r="CB51" s="5">
        <v>35.46</v>
      </c>
      <c r="CC51" s="5">
        <v>11.37</v>
      </c>
      <c r="CD51" s="5">
        <v>24.57</v>
      </c>
      <c r="CE51" s="5">
        <v>2.46</v>
      </c>
      <c r="CF51" s="5">
        <v>11.73</v>
      </c>
    </row>
    <row r="52" spans="1:84">
      <c r="A52" s="1">
        <v>2026</v>
      </c>
      <c r="B52" t="s">
        <v>85</v>
      </c>
      <c r="C52" s="2">
        <v>46112</v>
      </c>
      <c r="D52" s="4">
        <v>282363747</v>
      </c>
      <c r="E52" s="4">
        <v>282363747</v>
      </c>
      <c r="F52">
        <v>0</v>
      </c>
      <c r="G52" s="4">
        <v>282363747</v>
      </c>
      <c r="H52" s="4">
        <v>16686</v>
      </c>
      <c r="I52" s="4">
        <v>16686</v>
      </c>
      <c r="J52">
        <v>0</v>
      </c>
      <c r="K52" s="4">
        <v>16686</v>
      </c>
      <c r="L52" s="4">
        <v>334162600</v>
      </c>
      <c r="M52" s="4">
        <v>48247500</v>
      </c>
      <c r="N52" s="4">
        <v>285915100</v>
      </c>
      <c r="O52" s="4">
        <v>41280700</v>
      </c>
      <c r="P52" s="4">
        <v>277373500</v>
      </c>
      <c r="Q52">
        <v>0</v>
      </c>
      <c r="R52" s="4">
        <v>1460000</v>
      </c>
      <c r="S52" s="4">
        <v>53258853</v>
      </c>
      <c r="T52">
        <v>0</v>
      </c>
      <c r="U52">
        <v>0</v>
      </c>
      <c r="V52" s="4">
        <v>1479134000</v>
      </c>
      <c r="W52" s="4">
        <v>87353</v>
      </c>
      <c r="X52" s="4">
        <v>1275071300</v>
      </c>
      <c r="Y52">
        <v>86.2</v>
      </c>
      <c r="Z52">
        <v>19.09</v>
      </c>
      <c r="AA52">
        <v>19.309999999999999</v>
      </c>
      <c r="AB52">
        <v>19.09</v>
      </c>
      <c r="AC52">
        <v>0.69</v>
      </c>
      <c r="AD52">
        <v>0.62</v>
      </c>
      <c r="AE52">
        <v>0.42</v>
      </c>
      <c r="AF52">
        <v>0.49</v>
      </c>
      <c r="AG52">
        <v>1.03</v>
      </c>
      <c r="AH52">
        <v>1.06</v>
      </c>
      <c r="AI52" s="15">
        <v>36160.22</v>
      </c>
      <c r="AJ52">
        <v>2.14</v>
      </c>
      <c r="AK52" s="15">
        <v>6902.92</v>
      </c>
      <c r="AL52" s="15">
        <v>6902.92</v>
      </c>
      <c r="AM52" s="15">
        <v>24275.96</v>
      </c>
      <c r="AN52">
        <v>1.43</v>
      </c>
      <c r="AO52" s="15">
        <v>4634.2299999999996</v>
      </c>
      <c r="AP52" s="15">
        <v>4634.2299999999996</v>
      </c>
      <c r="AQ52" s="15">
        <v>14911.91</v>
      </c>
      <c r="AR52" s="15">
        <v>25990.400000000001</v>
      </c>
      <c r="AS52">
        <v>0.21</v>
      </c>
      <c r="AT52">
        <v>0.22</v>
      </c>
      <c r="AU52" s="4">
        <v>40905</v>
      </c>
      <c r="AV52" s="4">
        <v>12449</v>
      </c>
      <c r="AW52">
        <v>30.4</v>
      </c>
      <c r="AX52" s="4">
        <v>28456</v>
      </c>
      <c r="AY52">
        <v>0</v>
      </c>
      <c r="AZ52" s="4">
        <v>5681</v>
      </c>
      <c r="BA52">
        <v>13.9</v>
      </c>
      <c r="BB52" s="4">
        <v>5814900</v>
      </c>
      <c r="BC52" s="4">
        <v>56551</v>
      </c>
      <c r="BD52">
        <v>612</v>
      </c>
      <c r="BE52" s="4">
        <v>14978</v>
      </c>
      <c r="BF52">
        <v>26.5</v>
      </c>
      <c r="BG52" s="4">
        <v>60909</v>
      </c>
      <c r="BH52" s="4">
        <v>60930</v>
      </c>
      <c r="BI52" s="4">
        <v>13219</v>
      </c>
      <c r="BJ52" s="4">
        <v>47711</v>
      </c>
      <c r="BK52">
        <v>158</v>
      </c>
      <c r="BL52">
        <v>0.46</v>
      </c>
      <c r="BM52">
        <v>4.4000000000000004</v>
      </c>
      <c r="BN52" s="4">
        <v>3608</v>
      </c>
      <c r="BO52">
        <v>0.56000000000000005</v>
      </c>
      <c r="BP52" s="4">
        <v>3450</v>
      </c>
      <c r="BQ52">
        <v>0.56000000000000005</v>
      </c>
      <c r="BR52">
        <v>95.6</v>
      </c>
      <c r="BS52">
        <v>134</v>
      </c>
      <c r="BT52">
        <v>0.61</v>
      </c>
      <c r="BU52">
        <v>8.8000000000000007</v>
      </c>
      <c r="BV52" s="4">
        <v>1531</v>
      </c>
      <c r="BW52">
        <v>0.56000000000000005</v>
      </c>
      <c r="BX52">
        <v>1.49</v>
      </c>
      <c r="BY52">
        <v>1.06</v>
      </c>
      <c r="BZ52">
        <v>1.68</v>
      </c>
      <c r="CA52">
        <v>16.89</v>
      </c>
      <c r="CB52">
        <v>39.799999999999997</v>
      </c>
      <c r="CC52">
        <v>11.34</v>
      </c>
      <c r="CD52">
        <v>26.72</v>
      </c>
      <c r="CE52">
        <v>3.86</v>
      </c>
      <c r="CF52">
        <v>11.68</v>
      </c>
    </row>
    <row r="53" spans="1:84">
      <c r="A53" s="5">
        <v>2026</v>
      </c>
      <c r="B53" s="6">
        <v>3</v>
      </c>
      <c r="C53" s="2">
        <v>46142</v>
      </c>
    </row>
    <row r="54" spans="1:84">
      <c r="A54" s="1">
        <v>2026</v>
      </c>
      <c r="B54" t="s">
        <v>86</v>
      </c>
      <c r="C54" s="2">
        <v>46173</v>
      </c>
    </row>
    <row r="55" spans="1:84">
      <c r="A55" s="5">
        <v>2026</v>
      </c>
      <c r="B55" s="6">
        <v>4</v>
      </c>
      <c r="C55" s="2">
        <v>46203</v>
      </c>
    </row>
    <row r="56" spans="1:84">
      <c r="A56" s="1">
        <v>2026</v>
      </c>
      <c r="B56" t="s">
        <v>87</v>
      </c>
      <c r="C56" s="2">
        <v>46234</v>
      </c>
    </row>
    <row r="57" spans="1:84">
      <c r="A57" s="1">
        <v>2026</v>
      </c>
      <c r="B57" s="6">
        <v>5</v>
      </c>
      <c r="C57" s="2">
        <v>46265</v>
      </c>
    </row>
    <row r="58" spans="1:84">
      <c r="A58" s="5">
        <v>2026</v>
      </c>
      <c r="B58" t="s">
        <v>88</v>
      </c>
      <c r="C58" s="2">
        <v>46295</v>
      </c>
    </row>
    <row r="59" spans="1:84">
      <c r="A59" s="1">
        <v>2026</v>
      </c>
      <c r="B59" s="6">
        <v>6</v>
      </c>
      <c r="C59" s="2">
        <v>46326</v>
      </c>
    </row>
    <row r="60" spans="1:84">
      <c r="A60" s="1">
        <v>2026</v>
      </c>
      <c r="B60" t="s">
        <v>89</v>
      </c>
      <c r="C60" s="2">
        <v>46356</v>
      </c>
    </row>
    <row r="61" spans="1:84">
      <c r="A61" s="5">
        <v>2026</v>
      </c>
      <c r="B61" s="6">
        <v>7</v>
      </c>
      <c r="C61" s="2">
        <v>46387</v>
      </c>
    </row>
  </sheetData>
  <autoFilter ref="A1:CF1" xr:uid="{00000000-0009-0000-0000-000000000000}">
    <sortState xmlns:xlrd2="http://schemas.microsoft.com/office/spreadsheetml/2017/richdata2" ref="A2:CF51">
      <sortCondition ref="A2:A51"/>
      <sortCondition ref="C2:C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E6C7-C12D-4D67-83C3-DB8F12B715F8}">
  <dimension ref="B3:BS15"/>
  <sheetViews>
    <sheetView tabSelected="1" workbookViewId="0">
      <pane xSplit="2" ySplit="3" topLeftCell="C4" activePane="bottomRight" state="frozen"/>
      <selection pane="bottomRight" activeCell="AA15" sqref="AA15:AL15"/>
      <selection pane="bottomLeft"/>
      <selection pane="topRight"/>
    </sheetView>
  </sheetViews>
  <sheetFormatPr defaultRowHeight="15"/>
  <cols>
    <col min="1" max="1" width="3.85546875" customWidth="1"/>
    <col min="2" max="2" width="20.85546875" customWidth="1"/>
    <col min="3" max="3" width="14.5703125" customWidth="1"/>
    <col min="4" max="6" width="14.5703125" hidden="1" customWidth="1"/>
    <col min="7" max="9" width="12.85546875" hidden="1" customWidth="1"/>
    <col min="10" max="10" width="14.5703125" hidden="1" customWidth="1"/>
    <col min="11" max="26" width="12.85546875" hidden="1" customWidth="1"/>
    <col min="27" max="52" width="12.85546875" bestFit="1" customWidth="1"/>
    <col min="53" max="53" width="12.7109375" customWidth="1"/>
    <col min="54" max="71" width="14.7109375" customWidth="1"/>
  </cols>
  <sheetData>
    <row r="3" spans="2:71">
      <c r="B3" s="9"/>
      <c r="C3" s="13" cm="1">
        <f t="array" ref="C3:BS3">TRANSPOSE('Query result'!C2:C70)</f>
        <v>44592</v>
      </c>
      <c r="D3" s="10">
        <v>44620</v>
      </c>
      <c r="E3" s="10">
        <v>44651</v>
      </c>
      <c r="F3" s="10">
        <v>44681</v>
      </c>
      <c r="G3" s="10">
        <v>44712</v>
      </c>
      <c r="H3" s="10">
        <v>44742</v>
      </c>
      <c r="I3" s="10">
        <v>44773</v>
      </c>
      <c r="J3" s="10">
        <v>44804</v>
      </c>
      <c r="K3" s="10">
        <v>44834</v>
      </c>
      <c r="L3" s="10">
        <v>44865</v>
      </c>
      <c r="M3" s="10">
        <v>44895</v>
      </c>
      <c r="N3" s="10">
        <v>44926</v>
      </c>
      <c r="O3" s="10">
        <v>44957</v>
      </c>
      <c r="P3" s="10">
        <v>44985</v>
      </c>
      <c r="Q3" s="10">
        <v>45016</v>
      </c>
      <c r="R3" s="10">
        <v>45046</v>
      </c>
      <c r="S3" s="10">
        <v>45077</v>
      </c>
      <c r="T3" s="10">
        <v>45107</v>
      </c>
      <c r="U3" s="10">
        <v>45138</v>
      </c>
      <c r="V3" s="10">
        <v>45169</v>
      </c>
      <c r="W3" s="10">
        <v>45199</v>
      </c>
      <c r="X3" s="10">
        <v>45230</v>
      </c>
      <c r="Y3" s="10">
        <v>45260</v>
      </c>
      <c r="Z3" s="10">
        <v>45291</v>
      </c>
      <c r="AA3" s="13">
        <v>45322</v>
      </c>
      <c r="AB3" s="13">
        <v>45351</v>
      </c>
      <c r="AC3" s="13">
        <v>45382</v>
      </c>
      <c r="AD3" s="13">
        <v>45412</v>
      </c>
      <c r="AE3" s="13">
        <v>45443</v>
      </c>
      <c r="AF3" s="13">
        <v>45473</v>
      </c>
      <c r="AG3" s="13">
        <v>45504</v>
      </c>
      <c r="AH3" s="13">
        <v>45535</v>
      </c>
      <c r="AI3" s="13">
        <v>45565</v>
      </c>
      <c r="AJ3" s="13">
        <v>45596</v>
      </c>
      <c r="AK3" s="13">
        <v>45626</v>
      </c>
      <c r="AL3" s="13">
        <v>45657</v>
      </c>
      <c r="AM3" s="14">
        <v>45688</v>
      </c>
      <c r="AN3" s="14">
        <v>45716</v>
      </c>
      <c r="AO3" s="14">
        <v>45747</v>
      </c>
      <c r="AP3" s="14">
        <v>45777</v>
      </c>
      <c r="AQ3" s="14">
        <v>45808</v>
      </c>
      <c r="AR3" s="14">
        <v>45838</v>
      </c>
      <c r="AS3" s="14">
        <v>45869</v>
      </c>
      <c r="AT3" s="14">
        <v>45900</v>
      </c>
      <c r="AU3" s="14">
        <v>45930</v>
      </c>
      <c r="AV3" s="14">
        <v>45961</v>
      </c>
      <c r="AW3" s="14">
        <v>45991</v>
      </c>
      <c r="AX3" s="14">
        <v>46022</v>
      </c>
      <c r="AY3" s="13">
        <v>46053</v>
      </c>
      <c r="AZ3" s="13">
        <v>46081</v>
      </c>
      <c r="BA3" s="13">
        <v>46112</v>
      </c>
      <c r="BB3" s="13">
        <v>46142</v>
      </c>
      <c r="BC3" s="13">
        <v>46173</v>
      </c>
      <c r="BD3" s="13">
        <v>46203</v>
      </c>
      <c r="BE3" s="13">
        <v>46234</v>
      </c>
      <c r="BF3" s="13">
        <v>46265</v>
      </c>
      <c r="BG3" s="13">
        <v>46295</v>
      </c>
      <c r="BH3" s="13">
        <v>46326</v>
      </c>
      <c r="BI3" s="13">
        <v>46356</v>
      </c>
      <c r="BJ3" s="13">
        <v>46387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</row>
    <row r="5" spans="2:71">
      <c r="B5" t="s">
        <v>96</v>
      </c>
      <c r="C5" s="12" cm="1">
        <f t="array" ref="C5:BS5">TRANSPOSE('Query result'!E2:E70)</f>
        <v>1134379400</v>
      </c>
      <c r="D5" s="12">
        <v>1181273000</v>
      </c>
      <c r="E5" s="12">
        <v>1194800800</v>
      </c>
      <c r="F5" s="12">
        <v>1262494200</v>
      </c>
      <c r="G5" s="12">
        <v>722698400</v>
      </c>
      <c r="H5" s="12">
        <v>912644500</v>
      </c>
      <c r="I5" s="12">
        <v>966521100</v>
      </c>
      <c r="J5" s="12">
        <v>1003200600</v>
      </c>
      <c r="K5" s="12">
        <v>959426000</v>
      </c>
      <c r="L5" s="12">
        <v>837819384</v>
      </c>
      <c r="M5" s="12">
        <v>818551037</v>
      </c>
      <c r="N5" s="12">
        <v>686315832</v>
      </c>
      <c r="O5" s="12">
        <v>789871637</v>
      </c>
      <c r="P5" s="12">
        <v>737399008</v>
      </c>
      <c r="Q5" s="12">
        <v>869455682</v>
      </c>
      <c r="R5" s="12">
        <v>886259989</v>
      </c>
      <c r="S5" s="12">
        <v>784917335</v>
      </c>
      <c r="T5" s="12">
        <v>824408731</v>
      </c>
      <c r="U5" s="12">
        <v>771401531</v>
      </c>
      <c r="V5" s="12">
        <v>820148748</v>
      </c>
      <c r="W5" s="12">
        <v>851123682</v>
      </c>
      <c r="X5" s="12">
        <v>799484658</v>
      </c>
      <c r="Y5" s="12">
        <v>826937868</v>
      </c>
      <c r="Z5" s="12">
        <v>946960906</v>
      </c>
      <c r="AA5" s="12">
        <v>740069664</v>
      </c>
      <c r="AB5" s="12">
        <v>638968074</v>
      </c>
      <c r="AC5" s="12">
        <v>699841186</v>
      </c>
      <c r="AD5" s="12">
        <v>596187319</v>
      </c>
      <c r="AE5" s="12">
        <v>553279908</v>
      </c>
      <c r="AF5" s="12">
        <v>520296148</v>
      </c>
      <c r="AG5" s="12">
        <v>542985585</v>
      </c>
      <c r="AH5" s="12">
        <v>530965726</v>
      </c>
      <c r="AI5" s="12">
        <v>432601832</v>
      </c>
      <c r="AJ5" s="12">
        <v>444810075</v>
      </c>
      <c r="AK5" s="12">
        <v>404287163</v>
      </c>
      <c r="AL5" s="12">
        <v>472092722</v>
      </c>
      <c r="AM5" s="12">
        <v>410836942</v>
      </c>
      <c r="AN5" s="12">
        <v>345449041</v>
      </c>
      <c r="AO5" s="12">
        <v>456413002</v>
      </c>
      <c r="AP5" s="12">
        <v>304538284</v>
      </c>
      <c r="AQ5" s="12">
        <v>340050184</v>
      </c>
      <c r="AR5" s="12">
        <v>299665351</v>
      </c>
      <c r="AS5" s="12">
        <v>317606870</v>
      </c>
      <c r="AT5" s="12">
        <v>301157957</v>
      </c>
      <c r="AU5" s="12">
        <v>268870502</v>
      </c>
      <c r="AV5" s="12">
        <v>211555911</v>
      </c>
      <c r="AW5" s="12">
        <v>225032035</v>
      </c>
      <c r="AX5" s="12">
        <v>325003309</v>
      </c>
      <c r="AY5" s="12">
        <v>277549567</v>
      </c>
      <c r="AZ5" s="12">
        <v>214930018</v>
      </c>
      <c r="BA5" s="12">
        <v>282363747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</row>
    <row r="6" spans="2:71"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</row>
    <row r="7" spans="2:71">
      <c r="B7" t="s">
        <v>97</v>
      </c>
      <c r="C7" s="12" cm="1">
        <f t="array" ref="C7:BS7">TRANSPOSE('Query result'!BG2:BG70)</f>
        <v>359588</v>
      </c>
      <c r="D7" s="12">
        <v>381967</v>
      </c>
      <c r="E7" s="12">
        <v>378661</v>
      </c>
      <c r="F7" s="12">
        <v>391108</v>
      </c>
      <c r="G7" s="12">
        <v>215550</v>
      </c>
      <c r="H7" s="12">
        <v>241034</v>
      </c>
      <c r="I7" s="12">
        <v>251780</v>
      </c>
      <c r="J7" s="12">
        <v>262086</v>
      </c>
      <c r="K7" s="12">
        <v>247732</v>
      </c>
      <c r="L7" s="12">
        <v>231832</v>
      </c>
      <c r="M7" s="12">
        <v>220466</v>
      </c>
      <c r="N7" s="12">
        <v>249055</v>
      </c>
      <c r="O7" s="12">
        <v>227052</v>
      </c>
      <c r="P7" s="12">
        <v>229356</v>
      </c>
      <c r="Q7" s="12">
        <v>280995</v>
      </c>
      <c r="R7" s="12">
        <v>248094</v>
      </c>
      <c r="S7" s="12">
        <v>254489</v>
      </c>
      <c r="T7" s="12">
        <v>281311</v>
      </c>
      <c r="U7" s="12">
        <v>343402</v>
      </c>
      <c r="V7" s="12">
        <v>324208</v>
      </c>
      <c r="W7" s="12">
        <v>359205</v>
      </c>
      <c r="X7" s="12">
        <v>338445</v>
      </c>
      <c r="Y7" s="12">
        <v>329349</v>
      </c>
      <c r="Z7" s="12">
        <v>319740</v>
      </c>
      <c r="AA7" s="12">
        <v>240050</v>
      </c>
      <c r="AB7" s="12">
        <v>171828</v>
      </c>
      <c r="AC7" s="12">
        <v>176502</v>
      </c>
      <c r="AD7" s="12">
        <v>139717</v>
      </c>
      <c r="AE7" s="12">
        <v>138186</v>
      </c>
      <c r="AF7" s="12">
        <v>133722</v>
      </c>
      <c r="AG7" s="12">
        <v>151781</v>
      </c>
      <c r="AH7" s="12">
        <v>152129</v>
      </c>
      <c r="AI7" s="12">
        <v>138015</v>
      </c>
      <c r="AJ7" s="12">
        <v>138948</v>
      </c>
      <c r="AK7" s="12">
        <v>122878</v>
      </c>
      <c r="AL7" s="12">
        <v>128725</v>
      </c>
      <c r="AM7" s="12">
        <v>116394</v>
      </c>
      <c r="AN7" s="12">
        <v>104375</v>
      </c>
      <c r="AO7" s="12">
        <v>124681</v>
      </c>
      <c r="AP7" s="12">
        <v>90834</v>
      </c>
      <c r="AQ7" s="12">
        <v>100676</v>
      </c>
      <c r="AR7" s="12">
        <v>93240</v>
      </c>
      <c r="AS7" s="12">
        <v>97176</v>
      </c>
      <c r="AT7" s="12">
        <v>95051</v>
      </c>
      <c r="AU7" s="12">
        <v>82859</v>
      </c>
      <c r="AV7" s="12">
        <v>72875</v>
      </c>
      <c r="AW7" s="12">
        <v>66370</v>
      </c>
      <c r="AX7" s="12">
        <v>79540</v>
      </c>
      <c r="AY7" s="12">
        <v>62733</v>
      </c>
      <c r="AZ7" s="12">
        <v>57293</v>
      </c>
      <c r="BA7">
        <v>60909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  <row r="8" spans="2:71"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</row>
    <row r="9" spans="2:71">
      <c r="B9" t="s">
        <v>98</v>
      </c>
      <c r="C9" s="12" cm="1">
        <f t="array" ref="C9:BS9">TRANSPOSE('Query result'!BN2:BN70)</f>
        <v>33203</v>
      </c>
      <c r="D9" s="12">
        <v>34436</v>
      </c>
      <c r="E9" s="12">
        <v>34851</v>
      </c>
      <c r="F9" s="12">
        <v>30889</v>
      </c>
      <c r="G9" s="12">
        <v>23892</v>
      </c>
      <c r="H9" s="12">
        <v>23824</v>
      </c>
      <c r="I9" s="12">
        <v>23507</v>
      </c>
      <c r="J9" s="12">
        <v>22471</v>
      </c>
      <c r="K9" s="12">
        <v>21305</v>
      </c>
      <c r="L9" s="12">
        <v>20509</v>
      </c>
      <c r="M9" s="12">
        <v>19856</v>
      </c>
      <c r="N9" s="12">
        <v>20594</v>
      </c>
      <c r="O9" s="12">
        <v>18885</v>
      </c>
      <c r="P9" s="12">
        <v>17840</v>
      </c>
      <c r="Q9" s="12">
        <v>18409</v>
      </c>
      <c r="R9" s="12">
        <v>17768</v>
      </c>
      <c r="S9" s="12">
        <v>15835</v>
      </c>
      <c r="T9" s="12">
        <v>15346</v>
      </c>
      <c r="U9" s="12">
        <v>14373</v>
      </c>
      <c r="V9" s="12">
        <v>13934</v>
      </c>
      <c r="W9" s="12">
        <v>13458</v>
      </c>
      <c r="X9" s="12">
        <v>12689</v>
      </c>
      <c r="Y9" s="12">
        <v>11710</v>
      </c>
      <c r="Z9" s="12">
        <v>12177</v>
      </c>
      <c r="AA9" s="12">
        <v>10949</v>
      </c>
      <c r="AB9" s="12">
        <v>10764</v>
      </c>
      <c r="AC9" s="12">
        <v>10784</v>
      </c>
      <c r="AD9" s="12">
        <v>9756</v>
      </c>
      <c r="AE9" s="12">
        <v>9045</v>
      </c>
      <c r="AF9" s="12">
        <v>8745</v>
      </c>
      <c r="AG9" s="12">
        <v>8323</v>
      </c>
      <c r="AH9" s="12">
        <v>7941</v>
      </c>
      <c r="AI9" s="12">
        <v>7369</v>
      </c>
      <c r="AJ9" s="12">
        <v>7055</v>
      </c>
      <c r="AK9" s="12">
        <v>6407</v>
      </c>
      <c r="AL9" s="12">
        <v>6685</v>
      </c>
      <c r="AM9" s="12">
        <v>6152</v>
      </c>
      <c r="AN9" s="12">
        <v>5726</v>
      </c>
      <c r="AO9" s="12">
        <v>6470</v>
      </c>
      <c r="AP9" s="12">
        <v>4814</v>
      </c>
      <c r="AQ9" s="12">
        <v>4887</v>
      </c>
      <c r="AR9" s="12">
        <v>4594</v>
      </c>
      <c r="AS9" s="12">
        <v>4424</v>
      </c>
      <c r="AT9" s="12">
        <v>4170</v>
      </c>
      <c r="AU9" s="12">
        <v>3957</v>
      </c>
      <c r="AV9" s="12">
        <v>3827</v>
      </c>
      <c r="AW9" s="12">
        <v>3674</v>
      </c>
      <c r="AX9" s="12">
        <v>3881</v>
      </c>
      <c r="AY9" s="12">
        <v>3428</v>
      </c>
      <c r="AZ9" s="12">
        <v>3493</v>
      </c>
      <c r="BA9">
        <v>3608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2:71"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</row>
    <row r="11" spans="2:71">
      <c r="B11" t="s">
        <v>99</v>
      </c>
      <c r="C11" s="12" cm="1">
        <f t="array" ref="C11:BS11">TRANSPOSE('Query result'!BV2:BV70)</f>
        <v>10720</v>
      </c>
      <c r="D11" s="12">
        <v>11134</v>
      </c>
      <c r="E11" s="12">
        <v>10930</v>
      </c>
      <c r="F11" s="12">
        <v>9804</v>
      </c>
      <c r="G11" s="12">
        <v>7578</v>
      </c>
      <c r="H11" s="12">
        <v>7464</v>
      </c>
      <c r="I11" s="12">
        <v>6832</v>
      </c>
      <c r="J11" s="12">
        <v>6681</v>
      </c>
      <c r="K11" s="12">
        <v>6525</v>
      </c>
      <c r="L11" s="12">
        <v>6275</v>
      </c>
      <c r="M11" s="12">
        <v>5976</v>
      </c>
      <c r="N11" s="12">
        <v>6375</v>
      </c>
      <c r="O11" s="12">
        <v>6575</v>
      </c>
      <c r="P11" s="12">
        <v>6529</v>
      </c>
      <c r="Q11" s="12">
        <v>7153</v>
      </c>
      <c r="R11" s="12">
        <v>6712</v>
      </c>
      <c r="S11" s="12">
        <v>6669</v>
      </c>
      <c r="T11" s="12">
        <v>7205</v>
      </c>
      <c r="U11" s="12">
        <v>7307</v>
      </c>
      <c r="V11" s="12">
        <v>7395</v>
      </c>
      <c r="W11" s="12">
        <v>7743</v>
      </c>
      <c r="X11" s="12">
        <v>7453</v>
      </c>
      <c r="Y11" s="12">
        <v>6894</v>
      </c>
      <c r="Z11" s="12">
        <v>6818</v>
      </c>
      <c r="AA11" s="12">
        <v>5852</v>
      </c>
      <c r="AB11" s="12">
        <v>4678</v>
      </c>
      <c r="AC11" s="12">
        <v>4488</v>
      </c>
      <c r="AD11" s="12">
        <v>3781</v>
      </c>
      <c r="AE11" s="12">
        <v>3595</v>
      </c>
      <c r="AF11" s="12">
        <v>3631</v>
      </c>
      <c r="AG11" s="12">
        <v>3634</v>
      </c>
      <c r="AH11" s="12">
        <v>3368</v>
      </c>
      <c r="AI11" s="12">
        <v>2989</v>
      </c>
      <c r="AJ11" s="12">
        <v>2963</v>
      </c>
      <c r="AK11" s="12">
        <v>2621</v>
      </c>
      <c r="AL11" s="12">
        <v>2762</v>
      </c>
      <c r="AM11" s="12">
        <v>2762</v>
      </c>
      <c r="AN11" s="12">
        <v>2654</v>
      </c>
      <c r="AO11" s="12">
        <v>2725</v>
      </c>
      <c r="AP11" s="12">
        <v>2240</v>
      </c>
      <c r="AQ11" s="12">
        <v>2359</v>
      </c>
      <c r="AR11" s="12">
        <v>2279</v>
      </c>
      <c r="AS11" s="12">
        <v>2233</v>
      </c>
      <c r="AT11" s="12">
        <v>2104</v>
      </c>
      <c r="AU11" s="12">
        <v>1965</v>
      </c>
      <c r="AV11" s="12">
        <v>1762</v>
      </c>
      <c r="AW11" s="12">
        <v>1637</v>
      </c>
      <c r="AX11" s="12">
        <v>1796</v>
      </c>
      <c r="AY11" s="12">
        <v>1637</v>
      </c>
      <c r="AZ11" s="12">
        <v>1616</v>
      </c>
      <c r="BA11">
        <v>1531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</row>
    <row r="13" spans="2:71">
      <c r="AY13" s="12">
        <f>SUM(AY7:AZ7)</f>
        <v>120026</v>
      </c>
    </row>
    <row r="15" spans="2:71">
      <c r="AA15">
        <v>240050</v>
      </c>
      <c r="AB15">
        <v>171828</v>
      </c>
      <c r="AC15">
        <v>176502</v>
      </c>
      <c r="AD15">
        <v>139717</v>
      </c>
      <c r="AE15">
        <v>138186</v>
      </c>
      <c r="AF15">
        <v>133722</v>
      </c>
      <c r="AG15">
        <v>151781</v>
      </c>
      <c r="AH15">
        <v>152129</v>
      </c>
      <c r="AI15">
        <v>138015</v>
      </c>
      <c r="AJ15">
        <v>138948</v>
      </c>
      <c r="AK15">
        <v>122878</v>
      </c>
      <c r="AL15">
        <v>128725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5576BE43DCB741AF59B2980E8F5DE5" ma:contentTypeVersion="3" ma:contentTypeDescription="Create a new document." ma:contentTypeScope="" ma:versionID="70106367e99ad7753a9f36fc04358534">
  <xsd:schema xmlns:xsd="http://www.w3.org/2001/XMLSchema" xmlns:xs="http://www.w3.org/2001/XMLSchema" xmlns:p="http://schemas.microsoft.com/office/2006/metadata/properties" xmlns:ns2="940e4931-3f22-40fa-9ba4-47987b0b2e95" targetNamespace="http://schemas.microsoft.com/office/2006/metadata/properties" ma:root="true" ma:fieldsID="709383a84a4b8a65d6f77d3e29163dad" ns2:_="">
    <xsd:import namespace="940e4931-3f22-40fa-9ba4-47987b0b2e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0e4931-3f22-40fa-9ba4-47987b0b2e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E34AA4-AE87-4A1E-91FA-C6657B107008}"/>
</file>

<file path=customXml/itemProps2.xml><?xml version="1.0" encoding="utf-8"?>
<ds:datastoreItem xmlns:ds="http://schemas.openxmlformats.org/officeDocument/2006/customXml" ds:itemID="{1D7A0ED9-FB6D-49C5-B7CD-B23653EB2AD2}"/>
</file>

<file path=customXml/itemProps3.xml><?xml version="1.0" encoding="utf-8"?>
<ds:datastoreItem xmlns:ds="http://schemas.openxmlformats.org/officeDocument/2006/customXml" ds:itemID="{ED9D3216-DBA7-42C5-AB85-3BB45D283B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Fado Ganinduto</cp:lastModifiedBy>
  <cp:revision/>
  <dcterms:created xsi:type="dcterms:W3CDTF">2026-01-20T07:41:55Z</dcterms:created>
  <dcterms:modified xsi:type="dcterms:W3CDTF">2026-04-13T04:52:18Z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0x010100AB5576BE43DCB741AF59B2980E8F5DE5</vt:lpwstr>
  </property>
</Properties>
</file>