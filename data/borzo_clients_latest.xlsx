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lient PL" sheetId="2" r:id="rId5"/>
    <sheet name="Marketing PL Target" sheetId="3" r:id="rId6"/>
    <sheet name="2026 Plan" sheetId="4" r:id="rId7"/>
    <sheet name="Client Forecast" sheetId="5" r:id="rId8"/>
    <sheet name="Sheet5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<sst xmlns="http://schemas.openxmlformats.org/spreadsheetml/2006/main" count="1" uniqueCount="1">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</sst>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164" formatCode="#,##0"/>
    <numFmt numFmtId="165" formatCode="#,##0"/>
    <numFmt numFmtId="166" formatCode="0.00%"/>
    <numFmt numFmtId="167" formatCode="0.00%"/>
    <numFmt numFmtId="168" formatCode="#,##0"/>
    <numFmt numFmtId="169" formatCode="0.00%"/>
    <numFmt numFmtId="170" formatCode="#,##0"/>
    <numFmt numFmtId="171" formatCode="#,##0.00"/>
    <numFmt numFmtId="172" formatCode="_-* #,##0_-;\-* #,##0_-;_-* &quot;-&quot;_-;_-@"/>
    <numFmt numFmtId="173" formatCode="_-* #,##0_-;\-* #,##0_-;_-* &quot;-&quot;_-;_-@"/>
    <numFmt numFmtId="174" formatCode="#,##0"/>
    <numFmt numFmtId="175" formatCode="#,##0"/>
    <numFmt numFmtId="176" formatCode="0"/>
    <numFmt numFmtId="177" formatCode="#,##0"/>
    <numFmt numFmtId="178" formatCode="#,##0"/>
    <numFmt numFmtId="179" formatCode="#,##0"/>
    <numFmt numFmtId="180" formatCode="#,##0"/>
    <numFmt numFmtId="181" formatCode="0.00%"/>
    <numFmt numFmtId="182" formatCode="#,##0"/>
    <numFmt numFmtId="183" formatCode="#,##0"/>
    <numFmt numFmtId="184" formatCode="#,##0"/>
    <numFmt numFmtId="185" formatCode="0%"/>
    <numFmt numFmtId="186" formatCode="0.0%"/>
    <numFmt numFmtId="187" formatCode="#,##0"/>
    <numFmt numFmtId="188" formatCode="0"/>
    <numFmt numFmtId="189" formatCode="#,##0"/>
    <numFmt numFmtId="190" formatCode="#,##0.0"/>
    <numFmt numFmtId="191" formatCode="#,##0.0"/>
    <numFmt numFmtId="192" formatCode="mmm\ d"/>
    <numFmt numFmtId="193" formatCode="mmmm\ d"/>
    <numFmt numFmtId="194" formatCode="#,##0.0"/>
    <numFmt numFmtId="195" formatCode="0.00"/>
    <numFmt numFmtId="196" formatCode="0.00"/>
    <numFmt numFmtId="197" formatCode="#,##0"/>
    <numFmt numFmtId="198" formatCode="#,##0"/>
  </numFmts>
  <fonts count="7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4A86E8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FFFF"/>
        <bgColor/>
      </patternFill>
    </fill>
    <fill>
      <patternFill patternType="solid">
        <fgColor rgb="FF00FFFF"/>
        <bgColor/>
      </patternFill>
    </fill>
    <fill>
      <patternFill patternType="solid">
        <fgColor rgb="FF00FFFF"/>
        <bgColor/>
      </patternFill>
    </fill>
    <fill>
      <patternFill patternType="solid">
        <fgColor rgb="FF00FFFF"/>
        <bgColor/>
      </patternFill>
    </fill>
    <fill>
      <patternFill patternType="solid">
        <fgColor rgb="FF00FFFF"/>
        <bgColor/>
      </patternFill>
    </fill>
    <fill>
      <patternFill patternType="solid">
        <fgColor rgb="FF00FFFF"/>
        <bgColor/>
      </patternFill>
    </fill>
    <fill>
      <patternFill patternType="solid">
        <fgColor rgb="FF00FFFF"/>
        <bgColor/>
      </patternFill>
    </fill>
    <fill>
      <patternFill patternType="solid">
        <fgColor rgb="FFF4CCCC"/>
        <bgColor/>
      </patternFill>
    </fill>
    <fill>
      <patternFill patternType="solid">
        <fgColor rgb="FFF4CCCC"/>
        <bgColor/>
      </patternFill>
    </fill>
    <fill>
      <patternFill patternType="solid">
        <fgColor rgb="FF00FF00"/>
        <bgColor/>
      </patternFill>
    </fill>
    <fill>
      <patternFill patternType="solid">
        <fgColor rgb="FF00FF00"/>
        <bgColor/>
      </patternFill>
    </fill>
    <fill>
      <patternFill patternType="solid">
        <fgColor rgb="FF00FF00"/>
        <bgColor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right" vertical="bottom"/>
    </xf>
    <xf applyAlignment="true" applyBorder="false" applyFill="false" applyFont="true" applyNumberFormat="true" applyProtection="false" borderId="2" fillId="0" fontId="1" numFmtId="165" xfId="0">
      <alignment vertical="bottom"/>
    </xf>
    <xf applyAlignment="true" applyBorder="false" applyFill="false" applyFont="true" applyNumberFormat="true" applyProtection="false" borderId="3" fillId="0" fontId="1" numFmtId="166" xfId="0">
      <alignment vertical="bottom"/>
    </xf>
    <xf applyAlignment="true" applyBorder="false" applyFill="false" applyFont="true" applyNumberFormat="false" applyProtection="false" borderId="4" fillId="0" fontId="1" numFmtId="0" xfId="0">
      <alignment vertical="bottom"/>
    </xf>
    <xf applyAlignment="true" applyBorder="false" applyFill="false" applyFont="true" applyNumberFormat="false" applyProtection="false" borderId="5" fillId="0" fontId="1" numFmtId="0" xfId="0">
      <alignment horizontal="right" vertical="bottom"/>
    </xf>
    <xf applyAlignment="true" applyBorder="false" applyFill="false" applyFont="true" applyNumberFormat="false" applyProtection="false" borderId="6" fillId="0" fontId="1" numFmtId="0" xfId="0">
      <alignment vertical="top" wrapText="true"/>
    </xf>
    <xf applyAlignment="true" applyBorder="false" applyFill="false" applyFont="true" applyNumberFormat="true" applyProtection="false" borderId="7" fillId="0" fontId="2" numFmtId="167" xfId="0">
      <alignment horizontal="right" vertical="bottom"/>
    </xf>
    <xf applyAlignment="true" applyBorder="false" applyFill="false" applyFont="true" applyNumberFormat="false" applyProtection="false" borderId="8" fillId="0" fontId="1" numFmtId="0" xfId="0">
      <alignment vertical="bottom"/>
    </xf>
    <xf applyAlignment="true" applyBorder="false" applyFill="false" applyFont="true" applyNumberFormat="false" applyProtection="false" borderId="9" fillId="0" fontId="2" numFmtId="0" xfId="0">
      <alignment vertical="bottom"/>
    </xf>
    <xf applyAlignment="true" applyBorder="false" applyFill="false" applyFont="true" applyNumberFormat="false" applyProtection="false" borderId="10" fillId="0" fontId="1" numFmtId="0" xfId="0">
      <alignment vertical="bottom" wrapText="true"/>
    </xf>
    <xf applyAlignment="true" applyBorder="false" applyFill="true" applyFont="true" applyNumberFormat="true" applyProtection="false" borderId="11" fillId="2" fontId="2" numFmtId="168" xfId="0">
      <alignment horizontal="right" vertical="bottom"/>
    </xf>
    <xf applyAlignment="true" applyBorder="false" applyFill="true" applyFont="true" applyNumberFormat="false" applyProtection="false" borderId="12" fillId="3" fontId="2" numFmtId="0" xfId="0">
      <alignment horizontal="right" vertical="bottom"/>
    </xf>
    <xf applyAlignment="true" applyBorder="false" applyFill="true" applyFont="true" applyNumberFormat="false" applyProtection="false" borderId="13" fillId="4" fontId="1" numFmtId="0" xfId="0">
      <alignment vertical="bottom"/>
    </xf>
    <xf applyAlignment="true" applyBorder="false" applyFill="false" applyFont="true" applyNumberFormat="false" applyProtection="false" borderId="14" fillId="0" fontId="3" numFmtId="0" xfId="0">
      <alignment vertical="bottom"/>
    </xf>
    <xf applyAlignment="true" applyBorder="false" applyFill="true" applyFont="true" applyNumberFormat="false" applyProtection="false" borderId="15" fillId="5" fontId="2" numFmtId="0" xfId="0">
      <alignment vertical="bottom"/>
    </xf>
    <xf applyAlignment="true" applyBorder="false" applyFill="true" applyFont="true" applyNumberFormat="true" applyProtection="false" borderId="16" fillId="6" fontId="2" numFmtId="169" xfId="0">
      <alignment vertical="bottom"/>
    </xf>
    <xf applyAlignment="true" applyBorder="false" applyFill="true" applyFont="true" applyNumberFormat="true" applyProtection="false" borderId="17" fillId="7" fontId="2" numFmtId="170" xfId="0">
      <alignment vertical="bottom"/>
    </xf>
    <xf applyAlignment="true" applyBorder="false" applyFill="false" applyFont="true" applyNumberFormat="false" applyProtection="false" borderId="18" fillId="0" fontId="3" numFmtId="0" xfId="0">
      <alignment vertical="bottom"/>
    </xf>
    <xf applyAlignment="true" applyBorder="false" applyFill="true" applyFont="true" applyNumberFormat="false" applyProtection="false" borderId="19" fillId="8" fontId="2" numFmtId="0" xfId="0">
      <alignment vertical="bottom"/>
    </xf>
    <xf applyAlignment="true" applyBorder="false" applyFill="false" applyFont="true" applyNumberFormat="true" applyProtection="false" borderId="20" fillId="0" fontId="1" numFmtId="171" xfId="0">
      <alignment vertical="bottom"/>
    </xf>
    <xf applyAlignment="true" applyBorder="false" applyFill="false" applyFont="true" applyNumberFormat="true" applyProtection="false" borderId="21" fillId="0" fontId="2" numFmtId="172" xfId="0">
      <alignment vertical="bottom"/>
    </xf>
    <xf applyAlignment="true" applyBorder="false" applyFill="false" applyFont="true" applyNumberFormat="false" applyProtection="false" borderId="22" fillId="0" fontId="3" numFmtId="0" xfId="0">
      <alignment vertical="bottom"/>
    </xf>
    <xf applyAlignment="true" applyBorder="false" applyFill="false" applyFont="true" applyNumberFormat="false" applyProtection="false" borderId="23" fillId="0" fontId="2" numFmtId="0" xfId="0">
      <alignment vertical="bottom"/>
    </xf>
    <xf applyAlignment="true" applyBorder="false" applyFill="false" applyFont="true" applyNumberFormat="false" applyProtection="false" borderId="24" fillId="0" fontId="2" numFmtId="0" xfId="0">
      <alignment horizontal="center" vertical="bottom"/>
    </xf>
    <xf applyAlignment="true" applyBorder="false" applyFill="false" applyFont="true" applyNumberFormat="true" applyProtection="false" borderId="25" fillId="0" fontId="2" numFmtId="173" xfId="0">
      <alignment horizontal="center" vertical="bottom"/>
    </xf>
    <xf applyAlignment="true" applyBorder="false" applyFill="false" applyFont="true" applyNumberFormat="false" applyProtection="false" borderId="26" fillId="0" fontId="3" numFmtId="0" xfId="0">
      <alignment vertical="bottom"/>
    </xf>
    <xf applyAlignment="true" applyBorder="false" applyFill="false" applyFont="true" applyNumberFormat="false" applyProtection="false" borderId="27" fillId="0" fontId="2" numFmtId="0" xfId="0">
      <alignment horizontal="center" vertical="bottom" wrapText="true"/>
    </xf>
    <xf applyAlignment="true" applyBorder="false" applyFill="false" applyFont="true" applyNumberFormat="false" applyProtection="false" borderId="28" fillId="0" fontId="3" numFmtId="0" xfId="0">
      <alignment vertical="bottom"/>
    </xf>
    <xf applyAlignment="true" applyBorder="false" applyFill="false" applyFont="true" applyNumberFormat="false" applyProtection="false" borderId="29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2" numFmtId="174" xfId="0">
      <alignment vertical="bottom"/>
    </xf>
    <xf applyAlignment="true" applyBorder="false" applyFill="false" applyFont="true" applyNumberFormat="true" applyProtection="false" borderId="31" fillId="0" fontId="3" numFmtId="175" xfId="0">
      <alignment vertical="bottom"/>
    </xf>
    <xf applyAlignment="true" applyBorder="false" applyFill="false" applyFont="true" applyNumberFormat="true" applyProtection="false" borderId="32" fillId="0" fontId="3" numFmtId="176" xfId="0">
      <alignment vertical="bottom"/>
    </xf>
    <xf applyAlignment="true" applyBorder="false" applyFill="false" applyFont="true" applyNumberFormat="true" applyProtection="false" borderId="33" fillId="0" fontId="4" numFmtId="177" xfId="0">
      <alignment vertical="bottom"/>
    </xf>
    <xf applyAlignment="true" applyBorder="false" applyFill="false" applyFont="true" applyNumberFormat="true" applyProtection="false" borderId="34" fillId="0" fontId="5" numFmtId="178" xfId="0">
      <alignment vertical="bottom"/>
    </xf>
    <xf applyAlignment="true" applyBorder="false" applyFill="false" applyFont="true" applyNumberFormat="true" applyProtection="false" borderId="35" fillId="0" fontId="1" numFmtId="179" xfId="0">
      <alignment horizontal="right" vertical="bottom"/>
    </xf>
    <xf applyAlignment="true" applyBorder="false" applyFill="false" applyFont="true" applyNumberFormat="true" applyProtection="false" borderId="36" fillId="0" fontId="1" numFmtId="180" xfId="0">
      <alignment vertical="bottom"/>
    </xf>
    <xf applyAlignment="true" applyBorder="false" applyFill="false" applyFont="true" applyNumberFormat="true" applyProtection="false" borderId="37" fillId="0" fontId="1" numFmtId="181" xfId="0">
      <alignment horizontal="right" vertical="bottom"/>
    </xf>
    <xf applyAlignment="true" applyBorder="false" applyFill="false" applyFont="true" applyNumberFormat="true" applyProtection="false" borderId="38" fillId="0" fontId="2" numFmtId="182" xfId="0">
      <alignment horizontal="right" vertical="bottom"/>
    </xf>
    <xf applyAlignment="true" applyBorder="false" applyFill="true" applyFont="true" applyNumberFormat="true" applyProtection="false" borderId="39" fillId="9" fontId="1" numFmtId="183" xfId="0">
      <alignment horizontal="right" vertical="bottom"/>
    </xf>
    <xf applyAlignment="true" applyBorder="false" applyFill="true" applyFont="true" applyNumberFormat="false" applyProtection="false" borderId="40" fillId="10" fontId="1" numFmtId="0" xfId="0">
      <alignment vertical="bottom"/>
    </xf>
    <xf applyAlignment="true" applyBorder="false" applyFill="true" applyFont="true" applyNumberFormat="true" applyProtection="false" borderId="41" fillId="11" fontId="2" numFmtId="184" xfId="0">
      <alignment vertical="bottom"/>
    </xf>
    <xf applyAlignment="true" applyBorder="false" applyFill="true" applyFont="true" applyNumberFormat="false" applyProtection="false" borderId="42" fillId="12" fontId="1" numFmtId="0" xfId="0">
      <alignment vertical="bottom"/>
    </xf>
    <xf applyAlignment="true" applyBorder="false" applyFill="true" applyFont="true" applyNumberFormat="false" applyProtection="false" borderId="43" fillId="13" fontId="2" numFmtId="0" xfId="0">
      <alignment vertical="bottom"/>
    </xf>
    <xf applyAlignment="true" applyBorder="false" applyFill="false" applyFont="true" applyNumberFormat="true" applyProtection="false" borderId="44" fillId="0" fontId="1" numFmtId="185" xfId="0">
      <alignment horizontal="right" vertical="bottom"/>
    </xf>
    <xf applyAlignment="true" applyBorder="false" applyFill="false" applyFont="true" applyNumberFormat="true" applyProtection="false" borderId="45" fillId="0" fontId="1" numFmtId="186" xfId="0">
      <alignment horizontal="right" vertical="bottom"/>
    </xf>
    <xf applyAlignment="true" applyBorder="false" applyFill="false" applyFont="true" applyNumberFormat="true" applyProtection="false" borderId="46" fillId="0" fontId="1" numFmtId="187" xfId="0">
      <alignment horizontal="center" vertical="bottom"/>
    </xf>
    <xf applyAlignment="true" applyBorder="false" applyFill="false" applyFont="true" applyNumberFormat="true" applyProtection="false" borderId="47" fillId="0" fontId="1" numFmtId="188" xfId="0">
      <alignment vertical="bottom"/>
    </xf>
    <xf applyAlignment="true" applyBorder="false" applyFill="false" applyFont="true" applyNumberFormat="true" applyProtection="false" borderId="48" fillId="0" fontId="1" numFmtId="189" xfId="0">
      <alignment vertical="top"/>
    </xf>
    <xf applyAlignment="true" applyBorder="false" applyFill="false" applyFont="true" applyNumberFormat="true" applyProtection="false" borderId="49" fillId="0" fontId="1" numFmtId="190" xfId="0">
      <alignment vertical="bottom"/>
    </xf>
    <xf applyAlignment="true" applyBorder="false" applyFill="false" applyFont="true" applyNumberFormat="true" applyProtection="false" borderId="50" fillId="0" fontId="1" numFmtId="191" xfId="0">
      <alignment horizontal="center" vertical="bottom"/>
    </xf>
    <xf applyAlignment="true" applyBorder="false" applyFill="false" applyFont="true" applyNumberFormat="true" applyProtection="false" borderId="51" fillId="0" fontId="2" numFmtId="192" xfId="0">
      <alignment horizontal="center" vertical="bottom"/>
    </xf>
    <xf applyAlignment="true" applyBorder="false" applyFill="false" applyFont="true" applyNumberFormat="true" applyProtection="false" borderId="52" fillId="0" fontId="2" numFmtId="193" xfId="0">
      <alignment horizontal="center" vertical="bottom"/>
    </xf>
    <xf applyAlignment="true" applyBorder="false" applyFill="false" applyFont="true" applyNumberFormat="false" applyProtection="false" borderId="53" fillId="0" fontId="2" numFmtId="0" xfId="0">
      <alignment horizontal="center" vertical="bottom"/>
    </xf>
    <xf applyAlignment="true" applyBorder="false" applyFill="false" applyFont="true" applyNumberFormat="true" applyProtection="false" borderId="54" fillId="0" fontId="2" numFmtId="194" xfId="0">
      <alignment horizontal="center" vertical="bottom"/>
    </xf>
    <xf applyAlignment="true" applyBorder="false" applyFill="false" applyFont="true" applyNumberFormat="true" applyProtection="false" borderId="55" fillId="0" fontId="1" numFmtId="195" xfId="0">
      <alignment horizontal="center" vertical="bottom"/>
    </xf>
    <xf applyAlignment="true" applyBorder="false" applyFill="false" applyFont="true" applyNumberFormat="false" applyProtection="false" borderId="56" fillId="0" fontId="1" numFmtId="0" xfId="0">
      <alignment horizontal="left" vertical="bottom"/>
    </xf>
    <xf applyAlignment="true" applyBorder="false" applyFill="false" applyFont="true" applyNumberFormat="false" applyProtection="false" borderId="57" fillId="0" fontId="1" numFmtId="0" xfId="0">
      <alignment vertical="top"/>
    </xf>
    <xf applyAlignment="true" applyBorder="false" applyFill="false" applyFont="true" applyNumberFormat="true" applyProtection="false" borderId="58" fillId="0" fontId="2" numFmtId="196" xfId="0">
      <alignment horizontal="center" vertical="bottom"/>
    </xf>
    <xf applyAlignment="true" applyBorder="false" applyFill="false" applyFont="true" applyNumberFormat="false" applyProtection="false" borderId="59" fillId="0" fontId="1" numFmtId="0" xfId="0">
      <alignment horizontal="center" vertical="bottom"/>
    </xf>
    <xf applyAlignment="true" applyBorder="false" applyFill="false" applyFont="true" applyNumberFormat="false" applyProtection="false" borderId="60" fillId="0" fontId="3" numFmtId="0" xfId="0">
      <alignment vertical="center"/>
    </xf>
    <xf applyAlignment="true" applyBorder="false" applyFill="false" applyFont="true" applyNumberFormat="true" applyProtection="false" borderId="61" fillId="0" fontId="3" numFmtId="197" xfId="0">
      <alignment vertical="center"/>
    </xf>
    <xf applyAlignment="true" applyBorder="false" applyFill="false" applyFont="true" applyNumberFormat="true" applyProtection="false" borderId="62" fillId="0" fontId="6" numFmtId="198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1" xSplit="2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1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15"/>
    <col collapsed="false" customWidth="true" hidden="false" max="23" min="23" style="0" width="15"/>
    <col collapsed="false" customWidth="true" hidden="false" max="24" min="24" style="0" width="15"/>
    <col collapsed="false" customWidth="true" hidden="false" max="25" min="25" style="0" width="15"/>
    <col collapsed="false" customWidth="true" hidden="false" max="26" min="26" style="0" width="15"/>
    <col collapsed="false" customWidth="true" hidden="false" max="27" min="27" style="0" width="15"/>
    <col collapsed="false" customWidth="true" hidden="false" max="28" min="28" style="0" width="15"/>
    <col collapsed="false" customWidth="true" hidden="false" max="29" min="29" style="0" width="15"/>
    <col collapsed="false" customWidth="true" hidden="false" max="30" min="30" style="0" width="15"/>
    <col collapsed="false" customWidth="true" hidden="false" max="31" min="31" style="0" width="15"/>
    <col collapsed="false" customWidth="true" hidden="false" max="32" min="32" style="0" width="15"/>
    <col collapsed="false" customWidth="true" hidden="false" max="33" min="33" style="0" width="15"/>
    <col collapsed="false" customWidth="true" hidden="false" max="34" min="34" style="0" width="15"/>
    <col collapsed="false" customWidth="true" hidden="false" max="35" min="35" style="0" width="15"/>
    <col collapsed="false" customWidth="true" hidden="false" max="36" min="36" style="0" width="15"/>
    <col collapsed="false" customWidth="true" hidden="false" max="37" min="37" style="0" width="15"/>
    <col collapsed="false" customWidth="true" hidden="false" max="38" min="38" style="0" width="15"/>
    <col collapsed="false" customWidth="true" hidden="false" max="39" min="39" style="0" width="15"/>
    <col collapsed="false" customWidth="true" hidden="false" max="40" min="40" style="0" width="15"/>
    <col collapsed="false" customWidth="true" hidden="false" max="41" min="41" style="0" width="15"/>
    <col collapsed="false" customWidth="true" hidden="false" max="42" min="42" style="0" width="15"/>
    <col collapsed="false" customWidth="true" hidden="false" max="43" min="43" style="0" width="15"/>
    <col collapsed="false" customWidth="true" hidden="false" max="44" min="44" style="0" width="15"/>
    <col collapsed="false" customWidth="true" hidden="false" max="45" min="45" style="0" width="15"/>
    <col collapsed="false" customWidth="true" hidden="false" max="46" min="46" style="0" width="15"/>
    <col collapsed="false" customWidth="true" hidden="false" max="47" min="47" style="0" width="15"/>
    <col collapsed="false" customWidth="true" hidden="false" max="48" min="48" style="0" width="15"/>
    <col collapsed="false" customWidth="true" hidden="false" max="49" min="49" style="0" width="15"/>
    <col collapsed="false" customWidth="true" hidden="false" max="50" min="50" style="0" width="15"/>
    <col collapsed="false" customWidth="true" hidden="false" max="51" min="51" style="0" width="15"/>
    <col collapsed="false" customWidth="true" hidden="false" max="52" min="52" style="0" width="15"/>
    <col collapsed="false" customWidth="true" hidden="false" max="53" min="53" style="0" width="15"/>
    <col collapsed="false" customWidth="true" hidden="false" max="54" min="54" style="0" width="15"/>
    <col collapsed="false" customWidth="true" hidden="false" max="55" min="55" style="0" width="15"/>
    <col collapsed="false" customWidth="true" hidden="false" max="56" min="56" style="0" width="15"/>
    <col collapsed="false" customWidth="true" hidden="false" max="57" min="57" style="0" width="15"/>
    <col collapsed="false" customWidth="true" hidden="false" max="58" min="58" style="0" width="15"/>
    <col collapsed="false" customWidth="true" hidden="false" max="59" min="59" style="0" width="15"/>
    <col collapsed="false" customWidth="true" hidden="false" max="60" min="60" style="0" width="15"/>
    <col collapsed="false" customWidth="true" hidden="false" max="61" min="61" style="0" width="15"/>
    <col collapsed="false" customWidth="true" hidden="false" max="62" min="62" style="0" width="15"/>
    <col collapsed="false" customWidth="true" hidden="false" max="63" min="63" style="0" width="15"/>
    <col collapsed="false" customWidth="true" hidden="false" max="64" min="64" style="0" width="15"/>
    <col collapsed="false" customWidth="true" hidden="false" max="65" min="65" style="0" width="15"/>
    <col collapsed="false" customWidth="true" hidden="false" max="66" min="66" style="0" width="15"/>
    <col collapsed="false" customWidth="true" hidden="false" max="67" min="67" style="0" width="15"/>
    <col collapsed="false" customWidth="true" hidden="false" max="68" min="68" style="0" width="15"/>
    <col collapsed="false" customWidth="true" hidden="false" max="69" min="69" style="0" width="15"/>
    <col collapsed="false" customWidth="true" hidden="false" max="70" min="70" style="0" width="15"/>
    <col collapsed="false" customWidth="true" hidden="false" max="71" min="71" style="0" width="15"/>
    <col collapsed="false" customWidth="true" hidden="false" max="72" min="72" style="0" width="15"/>
    <col collapsed="false" customWidth="true" hidden="false" max="73" min="73" style="0" width="15"/>
    <col collapsed="false" customWidth="true" hidden="false" max="74" min="74" style="0" width="15"/>
    <col collapsed="false" customWidth="true" hidden="false" max="75" min="75" style="0" width="15"/>
    <col collapsed="false" customWidth="true" hidden="false" max="76" min="76" style="0" width="15"/>
    <col collapsed="false" customWidth="true" hidden="false" max="77" min="77" style="0" width="15"/>
    <col collapsed="false" customWidth="true" hidden="false" max="78" min="78" style="0" width="15"/>
    <col collapsed="false" customWidth="true" hidden="false" max="79" min="79" style="0" width="15"/>
    <col collapsed="false" customWidth="true" hidden="false" max="80" min="80" style="0" width="15"/>
    <col collapsed="false" customWidth="true" hidden="false" max="81" min="81" style="0" width="15"/>
    <col collapsed="false" customWidth="true" hidden="false" max="82" min="82" style="0" width="15"/>
    <col collapsed="false" customWidth="true" hidden="false" max="83" min="83" style="0" width="15"/>
    <col collapsed="false" customWidth="true" hidden="false" max="84" min="84" style="0" width="15"/>
    <col collapsed="false" customWidth="true" hidden="false" max="85" min="85" style="0" width="15"/>
    <col collapsed="false" customWidth="true" hidden="true" max="85" min="85" style="0" width="15"/>
    <col collapsed="false" customWidth="true" hidden="false" max="86" min="86" style="0" width="15"/>
    <col collapsed="false" customWidth="true" hidden="false" max="87" min="87" style="0" width="15"/>
    <col collapsed="false" customWidth="true" hidden="false" max="88" min="88" style="0" width="16"/>
    <col collapsed="false" customWidth="true" hidden="false" max="89" min="89" style="0" width="22"/>
    <col collapsed="false" customWidth="true" hidden="true" max="89" min="89" style="0" width="22"/>
    <col collapsed="false" customWidth="true" hidden="false" max="90" min="90" style="0" width="15"/>
    <col collapsed="false" customWidth="true" hidden="false" max="91" min="91" style="0" width="15"/>
    <col collapsed="false" customWidth="true" hidden="false" max="92" min="92" style="0" width="15"/>
    <col collapsed="false" customWidth="true" hidden="false" max="93" min="93" style="0" width="30"/>
    <col collapsed="false" customWidth="true" hidden="true" max="93" min="93" style="0" width="30"/>
    <col collapsed="false" customWidth="true" hidden="false" max="94" min="94" style="0" width="15"/>
    <col collapsed="false" customWidth="true" hidden="false" max="95" min="95" style="0" width="30"/>
    <col collapsed="false" customWidth="true" hidden="false" max="96" min="96" style="0" width="15"/>
  </cols>
  <sheetData>
    <row customHeight="true" ht="19" r="1">
      <c r="A1" s="24" t="str">
        <v>ID</v>
      </c>
      <c r="B1" s="24" t="str">
        <v>Client Name</v>
      </c>
      <c r="C1" s="23" t="str">
        <v>2024</v>
      </c>
      <c r="AM1" s="23" t="str">
        <v>2025</v>
      </c>
      <c r="CI1" s="23"/>
      <c r="CJ1" s="23"/>
      <c r="CK1" s="23"/>
      <c r="CL1" s="23"/>
      <c r="CM1" s="23"/>
      <c r="CN1" s="23"/>
      <c r="CO1" s="23"/>
      <c r="CP1" s="23"/>
      <c r="CQ1" s="23"/>
      <c r="CR1" s="23"/>
    </row>
    <row customHeight="true" ht="19" r="2">
      <c r="A2" s="28"/>
      <c r="B2" s="28"/>
      <c r="C2" s="25" t="str">
        <v>Jan</v>
      </c>
      <c r="D2" s="26"/>
      <c r="E2" s="18"/>
      <c r="F2" s="25" t="str">
        <v>Feb</v>
      </c>
      <c r="G2" s="26"/>
      <c r="H2" s="18"/>
      <c r="I2" s="25" t="str">
        <v>Mar</v>
      </c>
      <c r="J2" s="26"/>
      <c r="K2" s="18"/>
      <c r="L2" s="25" t="str">
        <v>Apr</v>
      </c>
      <c r="M2" s="26"/>
      <c r="N2" s="18"/>
      <c r="O2" s="25" t="str">
        <v>Mei</v>
      </c>
      <c r="P2" s="26"/>
      <c r="Q2" s="18"/>
      <c r="R2" s="25" t="str">
        <v>Jun</v>
      </c>
      <c r="S2" s="26"/>
      <c r="T2" s="18"/>
      <c r="U2" s="25" t="str">
        <v>Jul</v>
      </c>
      <c r="V2" s="26"/>
      <c r="W2" s="18"/>
      <c r="X2" s="25" t="str">
        <v>Aug</v>
      </c>
      <c r="Y2" s="26"/>
      <c r="Z2" s="18"/>
      <c r="AA2" s="25" t="str">
        <v>Sep</v>
      </c>
      <c r="AB2" s="26"/>
      <c r="AC2" s="18"/>
      <c r="AD2" s="25" t="str">
        <v>Okt</v>
      </c>
      <c r="AE2" s="26"/>
      <c r="AF2" s="18"/>
      <c r="AG2" s="25" t="str">
        <v>Nov</v>
      </c>
      <c r="AH2" s="26"/>
      <c r="AI2" s="26"/>
      <c r="AJ2" s="25" t="str">
        <v>Des</v>
      </c>
      <c r="AK2" s="26"/>
      <c r="AL2" s="26"/>
      <c r="AM2" s="25" t="str">
        <v>Jan</v>
      </c>
      <c r="AN2" s="26"/>
      <c r="AO2" s="26"/>
      <c r="AP2" s="18"/>
      <c r="AQ2" s="25" t="str">
        <v>Feb</v>
      </c>
      <c r="AR2" s="26"/>
      <c r="AS2" s="26"/>
      <c r="AT2" s="18"/>
      <c r="AU2" s="25" t="str">
        <v>Mar</v>
      </c>
      <c r="AV2" s="26"/>
      <c r="AW2" s="26"/>
      <c r="AX2" s="18"/>
      <c r="AY2" s="25" t="str">
        <v>Apr</v>
      </c>
      <c r="AZ2" s="26"/>
      <c r="BA2" s="26"/>
      <c r="BB2" s="18"/>
      <c r="BC2" s="25" t="str">
        <v>Mei</v>
      </c>
      <c r="BD2" s="26"/>
      <c r="BE2" s="26"/>
      <c r="BF2" s="18"/>
      <c r="BG2" s="25" t="str">
        <v>Jun</v>
      </c>
      <c r="BH2" s="26"/>
      <c r="BI2" s="26"/>
      <c r="BJ2" s="18"/>
      <c r="BK2" s="25" t="str">
        <v>Jul</v>
      </c>
      <c r="BL2" s="26"/>
      <c r="BM2" s="26"/>
      <c r="BN2" s="18"/>
      <c r="BO2" s="25" t="str">
        <v>Aug</v>
      </c>
      <c r="BP2" s="26"/>
      <c r="BQ2" s="26"/>
      <c r="BR2" s="18"/>
      <c r="BS2" s="25" t="str">
        <v>Sep</v>
      </c>
      <c r="BT2" s="26"/>
      <c r="BU2" s="26"/>
      <c r="BV2" s="18"/>
      <c r="BW2" s="25" t="str">
        <v>Oct</v>
      </c>
      <c r="BX2" s="26"/>
      <c r="BY2" s="26"/>
      <c r="BZ2" s="18"/>
      <c r="CA2" s="25" t="str">
        <v>Nov</v>
      </c>
      <c r="CB2" s="26"/>
      <c r="CC2" s="26"/>
      <c r="CD2" s="18"/>
      <c r="CE2" s="25" t="str">
        <v>Dec</v>
      </c>
      <c r="CF2" s="26"/>
      <c r="CG2" s="26"/>
      <c r="CH2" s="18"/>
      <c r="CI2" s="25" t="str">
        <v>MTD Jan Until 11 Jan 2026</v>
      </c>
      <c r="CJ2" s="26"/>
      <c r="CK2" s="26"/>
      <c r="CL2" s="18"/>
      <c r="CM2" s="25" t="str">
        <v>Forecast Jan</v>
      </c>
      <c r="CN2" s="26"/>
      <c r="CO2" s="26"/>
      <c r="CP2" s="18"/>
      <c r="CQ2" s="27" t="str">
        <v>Increase/Decrease since last month</v>
      </c>
      <c r="CR2" s="29" t="str">
        <v>Note</v>
      </c>
    </row>
    <row customHeight="true" ht="19" r="3">
      <c r="A3" s="22"/>
      <c r="B3" s="22"/>
      <c r="C3" s="21" t="str">
        <v>GMV</v>
      </c>
      <c r="D3" s="21" t="str">
        <v>Courier Cost</v>
      </c>
      <c r="E3" s="21" t="str">
        <v>Revenue</v>
      </c>
      <c r="F3" s="21" t="str">
        <v>GMV</v>
      </c>
      <c r="G3" s="21" t="str">
        <v>Courier Cost</v>
      </c>
      <c r="H3" s="21" t="str">
        <v>Revenue</v>
      </c>
      <c r="I3" s="21" t="str">
        <v>GMV</v>
      </c>
      <c r="J3" s="21" t="str">
        <v>Courier Cost</v>
      </c>
      <c r="K3" s="21" t="str">
        <v>Revenue</v>
      </c>
      <c r="L3" s="21" t="str">
        <v>GMV</v>
      </c>
      <c r="M3" s="21" t="str">
        <v>Courier Cost</v>
      </c>
      <c r="N3" s="21" t="str">
        <v>Revenue</v>
      </c>
      <c r="O3" s="21" t="str">
        <v>GMV</v>
      </c>
      <c r="P3" s="21" t="str">
        <v>Courier Cost</v>
      </c>
      <c r="Q3" s="21" t="str">
        <v>Revenue</v>
      </c>
      <c r="R3" s="21" t="str">
        <v>GMV</v>
      </c>
      <c r="S3" s="21" t="str">
        <v>Courier Cost</v>
      </c>
      <c r="T3" s="21" t="str">
        <v>Revenue</v>
      </c>
      <c r="U3" s="21" t="str">
        <v>GMV</v>
      </c>
      <c r="V3" s="21" t="str">
        <v>Courier Cost</v>
      </c>
      <c r="W3" s="21" t="str">
        <v>Revenue</v>
      </c>
      <c r="X3" s="21" t="str">
        <v>GMV</v>
      </c>
      <c r="Y3" s="21" t="str">
        <v>Courier Cost</v>
      </c>
      <c r="Z3" s="21" t="str">
        <v>Revenue</v>
      </c>
      <c r="AA3" s="21" t="str">
        <v>GMV</v>
      </c>
      <c r="AB3" s="21" t="str">
        <v>Courier Cost</v>
      </c>
      <c r="AC3" s="21" t="str">
        <v>Revenue</v>
      </c>
      <c r="AD3" s="21" t="str">
        <v>GMV</v>
      </c>
      <c r="AE3" s="21" t="str">
        <v>Courier Cost</v>
      </c>
      <c r="AF3" s="21" t="str">
        <v>Revenue</v>
      </c>
      <c r="AG3" s="21" t="str">
        <v>GMV</v>
      </c>
      <c r="AH3" s="21" t="str">
        <v>Courier Cost</v>
      </c>
      <c r="AI3" s="21" t="str">
        <v>Revenue</v>
      </c>
      <c r="AJ3" s="21" t="str">
        <v>GMV</v>
      </c>
      <c r="AK3" s="21" t="str">
        <v>Courier Cost</v>
      </c>
      <c r="AL3" s="21" t="str">
        <v>Revenue</v>
      </c>
      <c r="AM3" s="21" t="str">
        <v>Deliveries</v>
      </c>
      <c r="AN3" s="21" t="str">
        <v>GMV</v>
      </c>
      <c r="AO3" s="21" t="str">
        <v>Courier Cost</v>
      </c>
      <c r="AP3" s="21" t="str">
        <v>Revenue</v>
      </c>
      <c r="AQ3" s="21" t="str">
        <v>Deliveries</v>
      </c>
      <c r="AR3" s="21" t="str">
        <v>GMV</v>
      </c>
      <c r="AS3" s="21" t="str">
        <v>Courier Cost</v>
      </c>
      <c r="AT3" s="21" t="str">
        <v>Revenue</v>
      </c>
      <c r="AU3" s="21" t="str">
        <v>Deliveries</v>
      </c>
      <c r="AV3" s="21" t="str">
        <v>GMV</v>
      </c>
      <c r="AW3" s="21" t="str">
        <v>Courier Cost</v>
      </c>
      <c r="AX3" s="21" t="str">
        <v>Revenue</v>
      </c>
      <c r="AY3" s="21" t="str">
        <v>Deliveries</v>
      </c>
      <c r="AZ3" s="21" t="str">
        <v>GMV</v>
      </c>
      <c r="BA3" s="21" t="str">
        <v>Courier Cost</v>
      </c>
      <c r="BB3" s="21" t="str">
        <v>Revenue</v>
      </c>
      <c r="BC3" s="21" t="str">
        <v>Deliveries</v>
      </c>
      <c r="BD3" s="21" t="str">
        <v>GMV</v>
      </c>
      <c r="BE3" s="21" t="str">
        <v>Courier Cost</v>
      </c>
      <c r="BF3" s="21" t="str">
        <v>Revenue</v>
      </c>
      <c r="BG3" s="21" t="str">
        <v>Deliveries</v>
      </c>
      <c r="BH3" s="21" t="str">
        <v>GMV</v>
      </c>
      <c r="BI3" s="21" t="str">
        <v>Courier Cost</v>
      </c>
      <c r="BJ3" s="21" t="str">
        <v>Revenue</v>
      </c>
      <c r="BK3" s="21" t="str">
        <v>Deliveries</v>
      </c>
      <c r="BL3" s="21" t="str">
        <v>GMV</v>
      </c>
      <c r="BM3" s="21" t="str">
        <v>Courier Cost</v>
      </c>
      <c r="BN3" s="21" t="str">
        <v>Revenue</v>
      </c>
      <c r="BO3" s="21" t="str">
        <v>Deliveries</v>
      </c>
      <c r="BP3" s="21" t="str">
        <v>GMV</v>
      </c>
      <c r="BQ3" s="21" t="str">
        <v>Courier Cost</v>
      </c>
      <c r="BR3" s="21" t="str">
        <v>Revenue</v>
      </c>
      <c r="BS3" s="21" t="str">
        <v>Deliveries</v>
      </c>
      <c r="BT3" s="21" t="str">
        <v>GMV</v>
      </c>
      <c r="BU3" s="21" t="str">
        <v>Courier Cost</v>
      </c>
      <c r="BV3" s="21" t="str">
        <v>Revenue</v>
      </c>
      <c r="BW3" s="21" t="str">
        <v>Deliveries</v>
      </c>
      <c r="BX3" s="21" t="str">
        <v>GMV</v>
      </c>
      <c r="BY3" s="21" t="str">
        <v>Courier Cost</v>
      </c>
      <c r="BZ3" s="21" t="str">
        <v>Revenue</v>
      </c>
      <c r="CA3" s="21" t="str">
        <v>Deliveries</v>
      </c>
      <c r="CB3" s="21" t="str">
        <v>GMV</v>
      </c>
      <c r="CC3" s="21" t="str">
        <v>Courier Cost</v>
      </c>
      <c r="CD3" s="21" t="str">
        <v>Revenue</v>
      </c>
      <c r="CE3" s="21" t="str">
        <v>Deliveries</v>
      </c>
      <c r="CF3" s="21" t="str">
        <v>GMV</v>
      </c>
      <c r="CG3" s="21" t="str">
        <v>Courier Cost</v>
      </c>
      <c r="CH3" s="21" t="str">
        <v>Revenue</v>
      </c>
      <c r="CI3" s="21" t="str">
        <v>Deliveries</v>
      </c>
      <c r="CJ3" s="21" t="str">
        <v>GMV</v>
      </c>
      <c r="CK3" s="21" t="str">
        <v>Courier Cost</v>
      </c>
      <c r="CL3" s="21" t="str">
        <v>Revenue</v>
      </c>
      <c r="CM3" s="21" t="str">
        <v>Deliveries</v>
      </c>
      <c r="CN3" s="21" t="str">
        <v>GMV</v>
      </c>
      <c r="CO3" s="21" t="str">
        <v>Courier Cost</v>
      </c>
      <c r="CP3" s="21" t="str">
        <v>Revenue</v>
      </c>
      <c r="CQ3" s="22"/>
    </row>
    <row customHeight="true" ht="19" r="4">
      <c r="A4" s="5">
        <v>843149</v>
      </c>
      <c r="B4" s="6" t="str">
        <v>Halodoc Indonesia</v>
      </c>
      <c r="C4" s="1">
        <v>1219244500</v>
      </c>
      <c r="D4" s="1">
        <f>C4-E4</f>
      </c>
      <c r="E4" s="1">
        <v>165429800</v>
      </c>
      <c r="F4" s="1">
        <v>361163600</v>
      </c>
      <c r="G4" s="1">
        <f>F4-H4</f>
      </c>
      <c r="H4" s="1">
        <v>55900800</v>
      </c>
      <c r="I4" s="1">
        <v>353249700</v>
      </c>
      <c r="J4" s="1">
        <f>I4-K4</f>
      </c>
      <c r="K4" s="1">
        <v>54976200</v>
      </c>
      <c r="L4" s="1">
        <v>165281900</v>
      </c>
      <c r="M4" s="1">
        <f>L4-N4</f>
      </c>
      <c r="N4" s="1">
        <v>28091200</v>
      </c>
      <c r="O4" s="1">
        <v>208407500</v>
      </c>
      <c r="P4" s="1">
        <f>O4-Q4</f>
      </c>
      <c r="Q4" s="1">
        <v>33177100</v>
      </c>
      <c r="R4" s="1">
        <v>248441000</v>
      </c>
      <c r="S4" s="1">
        <f>R4-T4</f>
      </c>
      <c r="T4" s="1">
        <v>48310600</v>
      </c>
      <c r="U4" s="1">
        <v>408460300</v>
      </c>
      <c r="V4" s="1">
        <f>U4-W4</f>
      </c>
      <c r="W4" s="1">
        <v>83162600</v>
      </c>
      <c r="X4" s="1">
        <v>461857000</v>
      </c>
      <c r="Y4" s="1">
        <f>X4-Z4</f>
      </c>
      <c r="Z4" s="1">
        <v>94120700</v>
      </c>
      <c r="AA4" s="1">
        <v>462978500</v>
      </c>
      <c r="AB4" s="1">
        <f>AA4-AC4</f>
      </c>
      <c r="AC4" s="1">
        <v>94073600</v>
      </c>
      <c r="AD4" s="1">
        <v>417571600</v>
      </c>
      <c r="AE4" s="1">
        <f>AD4-AF4</f>
      </c>
      <c r="AF4" s="1">
        <v>85267300</v>
      </c>
      <c r="AG4" s="1">
        <v>351527200</v>
      </c>
      <c r="AH4" s="1">
        <f>AG4-AI4</f>
      </c>
      <c r="AI4" s="1">
        <v>71838000</v>
      </c>
      <c r="AJ4" s="1">
        <v>351150000</v>
      </c>
      <c r="AK4" s="1">
        <f>AJ4-AL4</f>
      </c>
      <c r="AL4" s="1">
        <v>71848500</v>
      </c>
      <c r="AM4" s="1">
        <v>29536</v>
      </c>
      <c r="AN4" s="1">
        <v>295957629</v>
      </c>
      <c r="AO4" s="1">
        <f>AN4-AP4</f>
      </c>
      <c r="AP4" s="1">
        <v>61085700</v>
      </c>
      <c r="AQ4" s="1">
        <v>32137</v>
      </c>
      <c r="AR4" s="1">
        <v>325111100</v>
      </c>
      <c r="AS4" s="1">
        <f>AR4-AT4</f>
      </c>
      <c r="AT4" s="1">
        <v>66337700</v>
      </c>
      <c r="AU4" s="1">
        <v>31691</v>
      </c>
      <c r="AV4" s="1">
        <v>349759278</v>
      </c>
      <c r="AW4" s="1">
        <f>AV4-AX4</f>
      </c>
      <c r="AX4" s="1">
        <v>72212500</v>
      </c>
      <c r="AY4" s="1">
        <v>27655</v>
      </c>
      <c r="AZ4" s="1">
        <v>277367112</v>
      </c>
      <c r="BA4" s="1">
        <f>AZ4-BB4</f>
      </c>
      <c r="BB4" s="1">
        <v>57191400</v>
      </c>
      <c r="BC4" s="1">
        <v>28889</v>
      </c>
      <c r="BD4" s="1">
        <v>290251665</v>
      </c>
      <c r="BE4" s="1">
        <f>BD4-BF4</f>
      </c>
      <c r="BF4" s="1">
        <v>59931300</v>
      </c>
      <c r="BG4" s="1">
        <v>30508</v>
      </c>
      <c r="BH4" s="1">
        <v>306368568</v>
      </c>
      <c r="BI4" s="1">
        <f>BH4-BJ4</f>
      </c>
      <c r="BJ4" s="1">
        <v>63250100</v>
      </c>
      <c r="BK4" s="1">
        <v>33855</v>
      </c>
      <c r="BL4" s="1">
        <v>339804333</v>
      </c>
      <c r="BM4" s="1">
        <f>BL4-BN4</f>
      </c>
      <c r="BN4" s="1">
        <v>70176700</v>
      </c>
      <c r="BO4" s="1">
        <v>35020</v>
      </c>
      <c r="BP4" s="1">
        <v>351308331</v>
      </c>
      <c r="BQ4" s="1">
        <f>BP4-BR4</f>
      </c>
      <c r="BR4" s="1">
        <v>72485400</v>
      </c>
      <c r="BS4" s="1">
        <v>23895</v>
      </c>
      <c r="BT4" s="1">
        <v>266121702</v>
      </c>
      <c r="BU4" s="1">
        <f>BT4-BV4</f>
      </c>
      <c r="BV4" s="1">
        <v>54829400</v>
      </c>
      <c r="BW4" s="1">
        <v>15594</v>
      </c>
      <c r="BX4" s="1">
        <v>156339117</v>
      </c>
      <c r="BY4" s="1">
        <f>BX4-BZ4</f>
      </c>
      <c r="BZ4" s="1">
        <v>32140900</v>
      </c>
      <c r="CA4" s="1">
        <v>14312</v>
      </c>
      <c r="CB4" s="1">
        <v>144679600</v>
      </c>
      <c r="CC4" s="1">
        <f>CB4-CD4</f>
      </c>
      <c r="CD4" s="1">
        <v>29472200</v>
      </c>
      <c r="CE4" s="2">
        <v>13514</v>
      </c>
      <c r="CF4" s="2">
        <v>136482100</v>
      </c>
      <c r="CG4" s="2">
        <v>108648800</v>
      </c>
      <c r="CH4" s="2">
        <f>CF4-CG4</f>
      </c>
      <c r="CI4" s="2">
        <v>4715</v>
      </c>
      <c r="CJ4" s="2">
        <v>47601300</v>
      </c>
      <c r="CK4" s="2">
        <v>37913200</v>
      </c>
      <c r="CL4" s="2">
        <v>9688100</v>
      </c>
      <c r="CM4" s="2">
        <f>CI4/11*31</f>
      </c>
      <c r="CN4" s="2">
        <f>CJ4/11*31</f>
      </c>
      <c r="CO4" s="2">
        <f>CK4/11*31</f>
      </c>
      <c r="CP4" s="2">
        <f>CL4/11*31</f>
      </c>
      <c r="CQ4" s="3">
        <f>(CM4-CE4)/CE4</f>
      </c>
      <c r="CR4" s="4"/>
    </row>
    <row customHeight="true" ht="19" r="5">
      <c r="A5" s="5">
        <v>858126</v>
      </c>
      <c r="B5" s="6" t="str">
        <v>Klean Katering Invoice</v>
      </c>
      <c r="C5" s="1">
        <v>95370200</v>
      </c>
      <c r="D5" s="1">
        <f>C5-E5</f>
      </c>
      <c r="E5" s="1">
        <v>19051300</v>
      </c>
      <c r="F5" s="1">
        <v>74369700</v>
      </c>
      <c r="G5" s="1">
        <f>F5-H5</f>
      </c>
      <c r="H5" s="1">
        <v>14912000</v>
      </c>
      <c r="I5" s="1">
        <v>81022500</v>
      </c>
      <c r="J5" s="1">
        <f>I5-K5</f>
      </c>
      <c r="K5" s="1">
        <v>16241300</v>
      </c>
      <c r="L5" s="1">
        <v>76403100</v>
      </c>
      <c r="M5" s="1">
        <f>L5-N5</f>
      </c>
      <c r="N5" s="1">
        <v>15293000</v>
      </c>
      <c r="O5" s="1">
        <v>108232600</v>
      </c>
      <c r="P5" s="1">
        <f>O5-Q5</f>
      </c>
      <c r="Q5" s="1">
        <v>21679100</v>
      </c>
      <c r="R5" s="1">
        <v>96217800</v>
      </c>
      <c r="S5" s="1">
        <f>R5-T5</f>
      </c>
      <c r="T5" s="1">
        <v>19275100</v>
      </c>
      <c r="U5" s="1">
        <v>113835600</v>
      </c>
      <c r="V5" s="1">
        <f>U5-W5</f>
      </c>
      <c r="W5" s="1">
        <v>22837100</v>
      </c>
      <c r="X5" s="1">
        <v>112453000</v>
      </c>
      <c r="Y5" s="1">
        <f>X5-Z5</f>
      </c>
      <c r="Z5" s="1">
        <v>22551400</v>
      </c>
      <c r="AA5" s="1">
        <v>103305000</v>
      </c>
      <c r="AB5" s="1">
        <f>AA5-AC5</f>
      </c>
      <c r="AC5" s="1">
        <v>20729100</v>
      </c>
      <c r="AD5" s="1">
        <v>111846000</v>
      </c>
      <c r="AE5" s="1">
        <f>AD5-AF5</f>
      </c>
      <c r="AF5" s="1">
        <v>22421400</v>
      </c>
      <c r="AG5" s="1">
        <v>102442200</v>
      </c>
      <c r="AH5" s="1">
        <f>AG5-AI5</f>
      </c>
      <c r="AI5" s="1">
        <v>20557800</v>
      </c>
      <c r="AJ5" s="1">
        <v>75374200</v>
      </c>
      <c r="AK5" s="1">
        <f>AJ5-AL5</f>
      </c>
      <c r="AL5" s="1">
        <v>15281200</v>
      </c>
      <c r="AM5" s="1">
        <v>5533</v>
      </c>
      <c r="AN5" s="1">
        <v>88718000</v>
      </c>
      <c r="AO5" s="1">
        <f>AN5-AP5</f>
      </c>
      <c r="AP5" s="1">
        <v>17821500</v>
      </c>
      <c r="AQ5" s="1">
        <v>7032</v>
      </c>
      <c r="AR5" s="1">
        <v>111826700</v>
      </c>
      <c r="AS5" s="1">
        <f>AR5-AT5</f>
      </c>
      <c r="AT5" s="1">
        <v>22420300</v>
      </c>
      <c r="AU5" s="1">
        <v>6895</v>
      </c>
      <c r="AV5" s="1">
        <v>109306000</v>
      </c>
      <c r="AW5" s="1">
        <f>AV5-AX5</f>
      </c>
      <c r="AX5" s="1">
        <v>21864400</v>
      </c>
      <c r="AY5" s="1">
        <v>6930</v>
      </c>
      <c r="AZ5" s="1">
        <v>111417000</v>
      </c>
      <c r="BA5" s="1">
        <f>AZ5-BB5</f>
      </c>
      <c r="BB5" s="1">
        <v>22283400</v>
      </c>
      <c r="BC5" s="1">
        <v>7161</v>
      </c>
      <c r="BD5" s="1">
        <v>116559500</v>
      </c>
      <c r="BE5" s="1">
        <f>BD5-BF5</f>
      </c>
      <c r="BF5" s="1">
        <v>23322500</v>
      </c>
      <c r="BG5" s="1">
        <v>5592</v>
      </c>
      <c r="BH5" s="1">
        <v>91068000</v>
      </c>
      <c r="BI5" s="1">
        <f>BH5-BJ5</f>
      </c>
      <c r="BJ5" s="1">
        <v>18213600</v>
      </c>
      <c r="BK5" s="1">
        <v>6053</v>
      </c>
      <c r="BL5" s="1">
        <v>100396000</v>
      </c>
      <c r="BM5" s="1">
        <f>BL5-BN5</f>
      </c>
      <c r="BN5" s="1">
        <v>20086000</v>
      </c>
      <c r="BO5" s="1">
        <v>5808</v>
      </c>
      <c r="BP5" s="1">
        <v>95147000</v>
      </c>
      <c r="BQ5" s="1">
        <f>BP5-BR5</f>
      </c>
      <c r="BR5" s="1">
        <v>19032200</v>
      </c>
      <c r="BS5" s="1">
        <v>4439</v>
      </c>
      <c r="BT5" s="1">
        <v>82218000</v>
      </c>
      <c r="BU5" s="1">
        <f>BT5-BV5</f>
      </c>
      <c r="BV5" s="1">
        <v>16535400</v>
      </c>
      <c r="BW5" s="1">
        <v>5348</v>
      </c>
      <c r="BX5" s="1">
        <v>86171000</v>
      </c>
      <c r="BY5" s="1">
        <f>BX5-BZ5</f>
      </c>
      <c r="BZ5" s="1">
        <v>17234200</v>
      </c>
      <c r="CA5" s="1">
        <v>4064</v>
      </c>
      <c r="CB5" s="1">
        <v>67368500</v>
      </c>
      <c r="CC5" s="1">
        <f>CB5-CD5</f>
      </c>
      <c r="CD5" s="1">
        <v>13473700</v>
      </c>
      <c r="CE5" s="2">
        <v>3442</v>
      </c>
      <c r="CF5" s="2">
        <v>58137000</v>
      </c>
      <c r="CG5" s="2">
        <v>46509600</v>
      </c>
      <c r="CH5" s="2">
        <f>CF5-CG5</f>
      </c>
      <c r="CI5" s="2">
        <v>1057</v>
      </c>
      <c r="CJ5" s="2">
        <v>17905000</v>
      </c>
      <c r="CK5" s="2">
        <v>14324000</v>
      </c>
      <c r="CL5" s="2">
        <v>3581000</v>
      </c>
      <c r="CM5" s="2">
        <f>CI5/11*31</f>
      </c>
      <c r="CN5" s="2">
        <f>CJ5/11*31</f>
      </c>
      <c r="CO5" s="2">
        <f>CK5/11*31</f>
      </c>
      <c r="CP5" s="2">
        <f>CL5/11*31</f>
      </c>
      <c r="CQ5" s="3">
        <f>(CM5-CE5)/CE5</f>
      </c>
      <c r="CR5" s="4" t="str" xml:space="preserve">
        <v>Starting to have marketing campaign on next week. </v>
      </c>
    </row>
    <row customHeight="true" ht="19" r="6">
      <c r="A6" s="5">
        <v>220980</v>
      </c>
      <c r="B6" s="8" t="str">
        <v>DSV</v>
      </c>
      <c r="C6" s="1">
        <v>49050400</v>
      </c>
      <c r="D6" s="1">
        <f>C6-E6</f>
      </c>
      <c r="E6" s="1">
        <v>9814300</v>
      </c>
      <c r="F6" s="1">
        <v>48963200</v>
      </c>
      <c r="G6" s="1">
        <f>F6-H6</f>
      </c>
      <c r="H6" s="1">
        <v>9796500</v>
      </c>
      <c r="I6" s="1">
        <v>48894100</v>
      </c>
      <c r="J6" s="1">
        <f>I6-K6</f>
      </c>
      <c r="K6" s="1">
        <v>9783100</v>
      </c>
      <c r="L6" s="1">
        <v>48891600</v>
      </c>
      <c r="M6" s="1">
        <f>L6-N6</f>
      </c>
      <c r="N6" s="1">
        <v>9776200</v>
      </c>
      <c r="O6" s="1">
        <v>48892400</v>
      </c>
      <c r="P6" s="1">
        <f>O6-Q6</f>
      </c>
      <c r="Q6" s="1">
        <v>9776300</v>
      </c>
      <c r="R6" s="1">
        <v>48886100</v>
      </c>
      <c r="S6" s="1">
        <f>R6-T6</f>
      </c>
      <c r="T6" s="1">
        <v>9781100</v>
      </c>
      <c r="U6" s="1">
        <v>48881300</v>
      </c>
      <c r="V6" s="1">
        <f>U6-W6</f>
      </c>
      <c r="W6" s="1">
        <v>9779300</v>
      </c>
      <c r="X6" s="1">
        <v>48923600</v>
      </c>
      <c r="Y6" s="1">
        <f>X6-Z6</f>
      </c>
      <c r="Z6" s="1">
        <v>9794600</v>
      </c>
      <c r="AA6" s="1">
        <v>49021300</v>
      </c>
      <c r="AB6" s="1">
        <f>AA6-AC6</f>
      </c>
      <c r="AC6" s="1">
        <v>9802300</v>
      </c>
      <c r="AD6" s="1">
        <v>48877300</v>
      </c>
      <c r="AE6" s="1">
        <f>AD6-AF6</f>
      </c>
      <c r="AF6" s="1">
        <v>9777300</v>
      </c>
      <c r="AG6" s="1">
        <v>48893500</v>
      </c>
      <c r="AH6" s="1">
        <f>AG6-AI6</f>
      </c>
      <c r="AI6" s="1">
        <v>9781100</v>
      </c>
      <c r="AJ6" s="1">
        <v>48613500</v>
      </c>
      <c r="AK6" s="1">
        <f>AJ6-AL6</f>
      </c>
      <c r="AL6" s="1">
        <v>9725100</v>
      </c>
      <c r="AM6" s="1">
        <v>9</v>
      </c>
      <c r="AN6" s="1">
        <v>58592709</v>
      </c>
      <c r="AO6" s="1">
        <f>AN6-AP6</f>
      </c>
      <c r="AP6" s="1">
        <v>9748000</v>
      </c>
      <c r="AQ6" s="1">
        <v>9</v>
      </c>
      <c r="AR6" s="1">
        <v>59251044</v>
      </c>
      <c r="AS6" s="1">
        <f>AR6-AT6</f>
      </c>
      <c r="AT6" s="1">
        <v>9871600</v>
      </c>
      <c r="AU6" s="1">
        <v>9</v>
      </c>
      <c r="AV6" s="1">
        <v>59251044</v>
      </c>
      <c r="AW6" s="1">
        <f>AV6-AX6</f>
      </c>
      <c r="AX6" s="1">
        <v>9806100</v>
      </c>
      <c r="AY6" s="1">
        <v>9</v>
      </c>
      <c r="AZ6" s="1">
        <v>59251044</v>
      </c>
      <c r="BA6" s="1">
        <f>AZ6-BB6</f>
      </c>
      <c r="BB6" s="1">
        <v>9806000</v>
      </c>
      <c r="BC6" s="1">
        <v>10</v>
      </c>
      <c r="BD6" s="1">
        <v>63533774</v>
      </c>
      <c r="BE6" s="1">
        <f>BD6-BF6</f>
      </c>
      <c r="BF6" s="1">
        <v>10605300</v>
      </c>
      <c r="BG6" s="1">
        <v>10</v>
      </c>
      <c r="BH6" s="1">
        <v>65510419</v>
      </c>
      <c r="BI6" s="1">
        <f>BH6-BJ6</f>
      </c>
      <c r="BJ6" s="1">
        <v>10972500</v>
      </c>
      <c r="BK6" s="1">
        <v>10</v>
      </c>
      <c r="BL6" s="1">
        <v>65510419</v>
      </c>
      <c r="BM6" s="1">
        <f>BL6-BN6</f>
      </c>
      <c r="BN6" s="1">
        <v>10920700</v>
      </c>
      <c r="BO6" s="1">
        <v>10</v>
      </c>
      <c r="BP6" s="1">
        <v>65510419</v>
      </c>
      <c r="BQ6" s="1">
        <f>BP6-BR6</f>
      </c>
      <c r="BR6" s="1">
        <v>14728200</v>
      </c>
      <c r="BS6" s="1">
        <v>10</v>
      </c>
      <c r="BT6" s="1">
        <v>65510419</v>
      </c>
      <c r="BU6" s="1">
        <f>BT6-BV6</f>
      </c>
      <c r="BV6" s="1">
        <v>10973700</v>
      </c>
      <c r="BW6" s="1">
        <v>10</v>
      </c>
      <c r="BX6" s="1">
        <v>65510419</v>
      </c>
      <c r="BY6" s="1">
        <f>BX6-BZ6</f>
      </c>
      <c r="BZ6" s="1">
        <v>15331800</v>
      </c>
      <c r="CA6" s="1">
        <v>9</v>
      </c>
      <c r="CB6" s="1">
        <v>58779200</v>
      </c>
      <c r="CC6" s="1">
        <f>CB6-CD6</f>
      </c>
      <c r="CD6" s="1">
        <v>14425900</v>
      </c>
      <c r="CE6" s="2">
        <v>9</v>
      </c>
      <c r="CF6" s="1">
        <v>58779200</v>
      </c>
      <c r="CG6" s="2">
        <f>34139400+9499600</f>
      </c>
      <c r="CH6" s="2">
        <f>CF6-CG6</f>
      </c>
      <c r="CI6" s="2">
        <v>9</v>
      </c>
      <c r="CJ6" s="2">
        <f>13147100+3565200</f>
      </c>
      <c r="CK6" s="2">
        <f>10519000+2850000</f>
      </c>
      <c r="CL6" s="2">
        <f>2628100+715200</f>
      </c>
      <c r="CM6" s="2">
        <v>9</v>
      </c>
      <c r="CN6" s="2">
        <f>CJ6/11*31</f>
      </c>
      <c r="CO6" s="2">
        <f>CK6/11*31</f>
      </c>
      <c r="CP6" s="2">
        <f>CL6/11*31</f>
      </c>
      <c r="CQ6" s="3">
        <f>(CM6-CE6)/CE6</f>
      </c>
      <c r="CR6" s="4" t="str">
        <v>On February they will add 6 couriers</v>
      </c>
    </row>
    <row customHeight="true" ht="19" r="7">
      <c r="A7" s="5">
        <v>271536</v>
      </c>
      <c r="B7" s="6" t="str">
        <v>Grouu Baby</v>
      </c>
      <c r="C7" s="1">
        <v>111111300</v>
      </c>
      <c r="D7" s="1">
        <f>C7-E7</f>
      </c>
      <c r="E7" s="1">
        <v>23652000</v>
      </c>
      <c r="F7" s="1">
        <v>96541200</v>
      </c>
      <c r="G7" s="1">
        <f>F7-H7</f>
      </c>
      <c r="H7" s="1">
        <v>20729700</v>
      </c>
      <c r="I7" s="1">
        <v>101882500</v>
      </c>
      <c r="J7" s="1">
        <f>I7-K7</f>
      </c>
      <c r="K7" s="1">
        <v>22094800</v>
      </c>
      <c r="L7" s="1">
        <v>102375500</v>
      </c>
      <c r="M7" s="1">
        <f>L7-N7</f>
      </c>
      <c r="N7" s="1">
        <v>22809400</v>
      </c>
      <c r="O7" s="1">
        <v>106915300</v>
      </c>
      <c r="P7" s="1">
        <f>O7-Q7</f>
      </c>
      <c r="Q7" s="1">
        <v>23705600</v>
      </c>
      <c r="R7" s="1">
        <v>98958600</v>
      </c>
      <c r="S7" s="1">
        <f>R7-T7</f>
      </c>
      <c r="T7" s="1">
        <v>22375600</v>
      </c>
      <c r="U7" s="1">
        <v>96259600</v>
      </c>
      <c r="V7" s="1">
        <f>U7-W7</f>
      </c>
      <c r="W7" s="1">
        <v>21810800</v>
      </c>
      <c r="X7" s="1">
        <v>91228200</v>
      </c>
      <c r="Y7" s="1">
        <f>X7-Z7</f>
      </c>
      <c r="Z7" s="1">
        <v>20805900</v>
      </c>
      <c r="AA7" s="1">
        <v>79786500</v>
      </c>
      <c r="AB7" s="1">
        <f>AA7-AC7</f>
      </c>
      <c r="AC7" s="1">
        <v>18244200</v>
      </c>
      <c r="AD7" s="1">
        <v>83536500</v>
      </c>
      <c r="AE7" s="1">
        <f>AD7-AF7</f>
      </c>
      <c r="AF7" s="1">
        <v>19114000</v>
      </c>
      <c r="AG7" s="1">
        <v>81438100</v>
      </c>
      <c r="AH7" s="1">
        <f>AG7-AI7</f>
      </c>
      <c r="AI7" s="1">
        <v>18988800</v>
      </c>
      <c r="AJ7" s="1">
        <v>101751600</v>
      </c>
      <c r="AK7" s="1">
        <f>AJ7-AL7</f>
      </c>
      <c r="AL7" s="1">
        <v>21060600</v>
      </c>
      <c r="AM7" s="1">
        <v>2963</v>
      </c>
      <c r="AN7" s="1">
        <v>82436300</v>
      </c>
      <c r="AO7" s="1">
        <f>AN7-AP7</f>
      </c>
      <c r="AP7" s="1">
        <v>16644400</v>
      </c>
      <c r="AQ7" s="1">
        <v>2650</v>
      </c>
      <c r="AR7" s="1">
        <v>72354300</v>
      </c>
      <c r="AS7" s="1">
        <f>AR7-AT7</f>
      </c>
      <c r="AT7" s="1">
        <v>14577500</v>
      </c>
      <c r="AU7" s="1">
        <v>2937</v>
      </c>
      <c r="AV7" s="1">
        <v>80866200</v>
      </c>
      <c r="AW7" s="1">
        <f>AV7-AX7</f>
      </c>
      <c r="AX7" s="1">
        <v>16247000</v>
      </c>
      <c r="AY7" s="1">
        <v>2962</v>
      </c>
      <c r="AZ7" s="1">
        <v>85754500</v>
      </c>
      <c r="BA7" s="1">
        <f>AZ7-BB7</f>
      </c>
      <c r="BB7" s="1">
        <v>17212700</v>
      </c>
      <c r="BC7" s="1">
        <v>2777</v>
      </c>
      <c r="BD7" s="1">
        <v>80264000</v>
      </c>
      <c r="BE7" s="1">
        <f>BD7-BF7</f>
      </c>
      <c r="BF7" s="1">
        <v>16133200</v>
      </c>
      <c r="BG7" s="1">
        <v>2417</v>
      </c>
      <c r="BH7" s="1">
        <v>70415900</v>
      </c>
      <c r="BI7" s="1">
        <f>BH7-BJ7</f>
      </c>
      <c r="BJ7" s="1">
        <v>14182100</v>
      </c>
      <c r="BK7" s="1">
        <v>2767</v>
      </c>
      <c r="BL7" s="1">
        <v>76685700</v>
      </c>
      <c r="BM7" s="1">
        <f>BL7-BN7</f>
      </c>
      <c r="BN7" s="1">
        <v>15348300</v>
      </c>
      <c r="BO7" s="1">
        <v>2208</v>
      </c>
      <c r="BP7" s="1">
        <v>64488600</v>
      </c>
      <c r="BQ7" s="1">
        <f>BP7-BR7</f>
      </c>
      <c r="BR7" s="1">
        <v>12899800</v>
      </c>
      <c r="BS7" s="1">
        <v>1706</v>
      </c>
      <c r="BT7" s="1">
        <v>63495600</v>
      </c>
      <c r="BU7" s="1">
        <f>BT7-BV7</f>
      </c>
      <c r="BV7" s="1">
        <v>12677500</v>
      </c>
      <c r="BW7" s="1">
        <v>2107</v>
      </c>
      <c r="BX7" s="1">
        <v>61341400</v>
      </c>
      <c r="BY7" s="1">
        <f>BX7-BZ7</f>
      </c>
      <c r="BZ7" s="1">
        <v>12231600</v>
      </c>
      <c r="CA7" s="1">
        <v>1843</v>
      </c>
      <c r="CB7" s="1">
        <v>55618200</v>
      </c>
      <c r="CC7" s="1">
        <f>CB7-CD7</f>
      </c>
      <c r="CD7" s="1">
        <v>11169900</v>
      </c>
      <c r="CE7" s="2">
        <v>2202</v>
      </c>
      <c r="CF7" s="2">
        <f>67976400+30900</f>
      </c>
      <c r="CG7" s="2">
        <f>54374100+24600</f>
      </c>
      <c r="CH7" s="2">
        <f>CF7-CG7</f>
      </c>
      <c r="CI7" s="2">
        <v>524</v>
      </c>
      <c r="CJ7" s="2">
        <f>16364900+60800</f>
      </c>
      <c r="CK7" s="2">
        <f>
13099600+48400</f>
      </c>
      <c r="CL7" s="2">
        <f>3265300+12400</f>
      </c>
      <c r="CM7" s="2">
        <f>CI7/11*31</f>
      </c>
      <c r="CN7" s="2">
        <f>CJ7/11*31</f>
      </c>
      <c r="CO7" s="2">
        <f>CK7/11*31</f>
      </c>
      <c r="CP7" s="2">
        <f>CL7/11*31</f>
      </c>
      <c r="CQ7" s="3">
        <f>(CM7-CE7)/CE7</f>
      </c>
      <c r="CR7" s="4" t="str">
        <v>Decrease due to holiday</v>
      </c>
    </row>
    <row customHeight="true" ht="19" r="8">
      <c r="A8" s="5">
        <v>836197</v>
      </c>
      <c r="B8" s="6" t="str">
        <v>Andalan Express Indonesia Invoice</v>
      </c>
      <c r="C8" s="1">
        <v>33431200</v>
      </c>
      <c r="D8" s="1">
        <f>C8-E8</f>
      </c>
      <c r="E8" s="1">
        <v>7555200</v>
      </c>
      <c r="F8" s="1">
        <v>13785200</v>
      </c>
      <c r="G8" s="1">
        <f>F8-H8</f>
      </c>
      <c r="H8" s="1">
        <v>3355800</v>
      </c>
      <c r="I8" s="1">
        <v>19807300</v>
      </c>
      <c r="J8" s="1">
        <f>I8-K8</f>
      </c>
      <c r="K8" s="1">
        <v>4948000</v>
      </c>
      <c r="L8" s="1">
        <v>39405600</v>
      </c>
      <c r="M8" s="1">
        <f>L8-N8</f>
      </c>
      <c r="N8" s="1">
        <v>9804900</v>
      </c>
      <c r="O8" s="1">
        <v>58502500</v>
      </c>
      <c r="P8" s="1">
        <f>O8-Q8</f>
      </c>
      <c r="Q8" s="1">
        <v>14705100</v>
      </c>
      <c r="R8" s="1">
        <v>53755000</v>
      </c>
      <c r="S8" s="1">
        <f>R8-T8</f>
      </c>
      <c r="T8" s="1">
        <v>13600500</v>
      </c>
      <c r="U8" s="1">
        <v>49812700</v>
      </c>
      <c r="V8" s="1">
        <f>U8-W8</f>
      </c>
      <c r="W8" s="1">
        <v>12892100</v>
      </c>
      <c r="X8" s="1">
        <v>46878400</v>
      </c>
      <c r="Y8" s="1">
        <f>X8-Z8</f>
      </c>
      <c r="Z8" s="1">
        <v>12049900</v>
      </c>
      <c r="AA8" s="1">
        <v>45401500</v>
      </c>
      <c r="AB8" s="1">
        <f>AA8-AC8</f>
      </c>
      <c r="AC8" s="1">
        <v>11427300</v>
      </c>
      <c r="AD8" s="1">
        <v>44872900</v>
      </c>
      <c r="AE8" s="1">
        <f>AD8-AF8</f>
      </c>
      <c r="AF8" s="1">
        <v>11378200</v>
      </c>
      <c r="AG8" s="1">
        <v>65119700</v>
      </c>
      <c r="AH8" s="1">
        <f>AG8-AI8</f>
      </c>
      <c r="AI8" s="1">
        <v>17899900</v>
      </c>
      <c r="AJ8" s="1">
        <v>79845800</v>
      </c>
      <c r="AK8" s="1">
        <f>AJ8-AL8</f>
      </c>
      <c r="AL8" s="1">
        <v>21324400</v>
      </c>
      <c r="AM8" s="1">
        <v>2360</v>
      </c>
      <c r="AN8" s="1">
        <v>61318400</v>
      </c>
      <c r="AO8" s="1">
        <f>AN8-AP8</f>
      </c>
      <c r="AP8" s="1">
        <v>13488700</v>
      </c>
      <c r="AQ8" s="1">
        <v>337</v>
      </c>
      <c r="AR8" s="1">
        <v>9796000</v>
      </c>
      <c r="AS8" s="1">
        <f>AR8-AT8</f>
      </c>
      <c r="AT8" s="1">
        <v>2158800</v>
      </c>
      <c r="AU8" s="1">
        <v>1312</v>
      </c>
      <c r="AV8" s="1">
        <v>34691200</v>
      </c>
      <c r="AW8" s="1">
        <f>AV8-AX8</f>
      </c>
      <c r="AX8" s="1">
        <v>7650900</v>
      </c>
      <c r="AY8" s="1">
        <v>2558</v>
      </c>
      <c r="AZ8" s="1">
        <v>71511600</v>
      </c>
      <c r="BA8" s="1">
        <f>AZ8-BB8</f>
      </c>
      <c r="BB8" s="1">
        <v>14796200</v>
      </c>
      <c r="BC8" s="1">
        <v>2256</v>
      </c>
      <c r="BD8" s="1">
        <v>64088300</v>
      </c>
      <c r="BE8" s="1">
        <f>BD8-BF8</f>
      </c>
      <c r="BF8" s="1">
        <v>13215200</v>
      </c>
      <c r="BG8" s="1">
        <v>1723</v>
      </c>
      <c r="BH8" s="1">
        <v>53098300</v>
      </c>
      <c r="BI8" s="1">
        <f>BH8-BJ8</f>
      </c>
      <c r="BJ8" s="1">
        <v>10500200</v>
      </c>
      <c r="BK8" s="1">
        <v>1866</v>
      </c>
      <c r="BL8" s="1">
        <v>56212300</v>
      </c>
      <c r="BM8" s="1">
        <f>BL8-BN8</f>
      </c>
      <c r="BN8" s="1">
        <v>11380800</v>
      </c>
      <c r="BO8" s="1">
        <v>1814</v>
      </c>
      <c r="BP8" s="1">
        <v>56977800</v>
      </c>
      <c r="BQ8" s="1">
        <f>BP8-BR8</f>
      </c>
      <c r="BR8" s="1">
        <v>11402900</v>
      </c>
      <c r="BS8" s="1">
        <v>1452</v>
      </c>
      <c r="BT8" s="1">
        <v>57552300</v>
      </c>
      <c r="BU8" s="1">
        <f>BT8-BV8</f>
      </c>
      <c r="BV8" s="1">
        <v>11555300</v>
      </c>
      <c r="BW8" s="1">
        <v>1893</v>
      </c>
      <c r="BX8" s="1">
        <v>60246200</v>
      </c>
      <c r="BY8" s="1">
        <f>BX8-BZ8</f>
      </c>
      <c r="BZ8" s="1">
        <v>12222100</v>
      </c>
      <c r="CA8" s="1">
        <v>2178</v>
      </c>
      <c r="CB8" s="1">
        <v>70936900</v>
      </c>
      <c r="CC8" s="1">
        <f>CB8-CD8</f>
      </c>
      <c r="CD8" s="1">
        <v>14201300</v>
      </c>
      <c r="CE8" s="2">
        <v>2822</v>
      </c>
      <c r="CF8" s="2">
        <v>88983800</v>
      </c>
      <c r="CG8" s="2">
        <v>70644600</v>
      </c>
      <c r="CH8" s="2">
        <f>CF8-CG8</f>
      </c>
      <c r="CI8" s="2">
        <v>659</v>
      </c>
      <c r="CJ8" s="2">
        <v>19605400</v>
      </c>
      <c r="CK8" s="2">
        <v>15667400</v>
      </c>
      <c r="CL8" s="2">
        <v>3938000</v>
      </c>
      <c r="CM8" s="2">
        <f>CI8/11*31</f>
      </c>
      <c r="CN8" s="2">
        <f>CJ8/11*31</f>
      </c>
      <c r="CO8" s="2">
        <f>CK8/11*31</f>
      </c>
      <c r="CP8" s="2">
        <f>CL8/11*31</f>
      </c>
      <c r="CQ8" s="3">
        <f>(CM8-CE8)/CE8</f>
      </c>
      <c r="CR8" s="4" t="str">
        <v>Decrease due to holiday</v>
      </c>
    </row>
    <row customHeight="true" ht="19" r="9">
      <c r="A9" s="5">
        <v>204616</v>
      </c>
      <c r="B9" s="6" t="str">
        <v>Nuskin invoice</v>
      </c>
      <c r="C9" s="1">
        <v>71032000</v>
      </c>
      <c r="D9" s="1">
        <f>C9-E9</f>
      </c>
      <c r="E9" s="1">
        <v>12714000</v>
      </c>
      <c r="F9" s="1">
        <v>60440000</v>
      </c>
      <c r="G9" s="1">
        <f>F9-H9</f>
      </c>
      <c r="H9" s="1">
        <v>11128000</v>
      </c>
      <c r="I9" s="1">
        <v>71356000</v>
      </c>
      <c r="J9" s="1">
        <f>I9-K9</f>
      </c>
      <c r="K9" s="1">
        <v>13490900</v>
      </c>
      <c r="L9" s="1">
        <v>82880000</v>
      </c>
      <c r="M9" s="1">
        <f>L9-N9</f>
      </c>
      <c r="N9" s="1">
        <v>15834000</v>
      </c>
      <c r="O9" s="1">
        <v>67746000</v>
      </c>
      <c r="P9" s="1">
        <f>O9-Q9</f>
      </c>
      <c r="Q9" s="1">
        <v>12864200</v>
      </c>
      <c r="R9" s="1">
        <v>60538000</v>
      </c>
      <c r="S9" s="1">
        <f>R9-T9</f>
      </c>
      <c r="T9" s="1">
        <v>11457600</v>
      </c>
      <c r="U9" s="1">
        <v>65180000</v>
      </c>
      <c r="V9" s="1">
        <f>U9-W9</f>
      </c>
      <c r="W9" s="1">
        <v>12336000</v>
      </c>
      <c r="X9" s="1">
        <v>68444000</v>
      </c>
      <c r="Y9" s="1">
        <f>X9-Z9</f>
      </c>
      <c r="Z9" s="1">
        <v>12888800</v>
      </c>
      <c r="AA9" s="1">
        <v>51432000</v>
      </c>
      <c r="AB9" s="1">
        <f>AA9-AC9</f>
      </c>
      <c r="AC9" s="1">
        <v>9661400</v>
      </c>
      <c r="AD9" s="1">
        <v>70482000</v>
      </c>
      <c r="AE9" s="1">
        <f>AD9-AF9</f>
      </c>
      <c r="AF9" s="1">
        <v>13321400</v>
      </c>
      <c r="AG9" s="1">
        <v>98847000</v>
      </c>
      <c r="AH9" s="1">
        <f>AG9-AI9</f>
      </c>
      <c r="AI9" s="1">
        <v>19069400</v>
      </c>
      <c r="AJ9" s="1">
        <v>96789000</v>
      </c>
      <c r="AK9" s="1">
        <f>AJ9-AL9</f>
      </c>
      <c r="AL9" s="1">
        <v>19257800</v>
      </c>
      <c r="AM9" s="1">
        <v>3131</v>
      </c>
      <c r="AN9" s="1">
        <v>92640400</v>
      </c>
      <c r="AO9" s="1">
        <f>AN9-AP9</f>
      </c>
      <c r="AP9" s="1">
        <v>18834100</v>
      </c>
      <c r="AQ9" s="1">
        <v>1793</v>
      </c>
      <c r="AR9" s="1">
        <v>55986000</v>
      </c>
      <c r="AS9" s="1">
        <f>AR9-AT9</f>
      </c>
      <c r="AT9" s="1">
        <v>10707600</v>
      </c>
      <c r="AU9" s="1">
        <v>1829</v>
      </c>
      <c r="AV9" s="1">
        <v>54794500</v>
      </c>
      <c r="AW9" s="1">
        <f>AV9-AX9</f>
      </c>
      <c r="AX9" s="1">
        <v>10546000</v>
      </c>
      <c r="AY9" s="1">
        <v>1756</v>
      </c>
      <c r="AZ9" s="1">
        <v>54494500</v>
      </c>
      <c r="BA9" s="1">
        <f>AZ9-BB9</f>
      </c>
      <c r="BB9" s="1">
        <v>10501200</v>
      </c>
      <c r="BC9" s="1">
        <v>2025</v>
      </c>
      <c r="BD9" s="1">
        <v>49992000</v>
      </c>
      <c r="BE9" s="1">
        <f>BD9-BF9</f>
      </c>
      <c r="BF9" s="1">
        <v>11082800</v>
      </c>
      <c r="BG9" s="1">
        <v>2198</v>
      </c>
      <c r="BH9" s="1">
        <v>64853000</v>
      </c>
      <c r="BI9" s="1">
        <f>BH9-BJ9</f>
      </c>
      <c r="BJ9" s="1">
        <v>12639000</v>
      </c>
      <c r="BK9" s="1">
        <v>1858</v>
      </c>
      <c r="BL9" s="1">
        <v>65861000</v>
      </c>
      <c r="BM9" s="1">
        <f>BL9-BN9</f>
      </c>
      <c r="BN9" s="1">
        <v>12904400</v>
      </c>
      <c r="BO9" s="1">
        <v>1789</v>
      </c>
      <c r="BP9" s="1">
        <v>59748000</v>
      </c>
      <c r="BQ9" s="1">
        <f>BP9-BR9</f>
      </c>
      <c r="BR9" s="1">
        <v>11758700</v>
      </c>
      <c r="BS9" s="1">
        <v>1565</v>
      </c>
      <c r="BT9" s="1">
        <v>50810500</v>
      </c>
      <c r="BU9" s="1">
        <f>BT9-BV9</f>
      </c>
      <c r="BV9" s="1">
        <v>10541800</v>
      </c>
      <c r="BW9" s="1">
        <v>1417</v>
      </c>
      <c r="BX9" s="1">
        <v>48003000</v>
      </c>
      <c r="BY9" s="1">
        <f>BX9-BZ9</f>
      </c>
      <c r="BZ9" s="1">
        <v>8942000</v>
      </c>
      <c r="CA9" s="1">
        <v>1547</v>
      </c>
      <c r="CB9" s="1">
        <v>56844000</v>
      </c>
      <c r="CC9" s="1">
        <f>CB9-CD9</f>
      </c>
      <c r="CD9" s="1">
        <v>11606200</v>
      </c>
      <c r="CE9" s="2">
        <f>1720+174</f>
      </c>
      <c r="CF9" s="2">
        <v>61079300</v>
      </c>
      <c r="CG9" s="2">
        <f>46065600+2228000</f>
      </c>
      <c r="CH9" s="2">
        <f>CF9-CG9</f>
      </c>
      <c r="CI9" s="2">
        <f>943+52</f>
      </c>
      <c r="CJ9" s="2">
        <f>27116000+940000</f>
      </c>
      <c r="CK9" s="2">
        <f>21692800+752000</f>
      </c>
      <c r="CL9" s="2">
        <f>5423200+188000</f>
      </c>
      <c r="CM9" s="2">
        <f>CI9/11*31</f>
      </c>
      <c r="CN9" s="2">
        <f>CJ9/11*31</f>
      </c>
      <c r="CO9" s="2">
        <f>CK9/11*31</f>
      </c>
      <c r="CP9" s="2">
        <f>CL9/11*31</f>
      </c>
      <c r="CQ9" s="3">
        <f>(CM9-CE9)/CE9</f>
      </c>
      <c r="CR9" s="4" t="str">
        <v>Already start new year campaign</v>
      </c>
    </row>
    <row customHeight="true" ht="19" r="10">
      <c r="A10" s="5">
        <v>247209</v>
      </c>
      <c r="B10" s="6" t="str">
        <v>mClinica Akun Utama</v>
      </c>
      <c r="C10" s="1">
        <v>462141400</v>
      </c>
      <c r="D10" s="1">
        <f>C10-E10</f>
      </c>
      <c r="E10" s="1">
        <v>92449700</v>
      </c>
      <c r="F10" s="1">
        <v>488233100</v>
      </c>
      <c r="G10" s="1">
        <f>F10-H10</f>
      </c>
      <c r="H10" s="1">
        <v>97543000</v>
      </c>
      <c r="I10" s="1">
        <v>523832600</v>
      </c>
      <c r="J10" s="1">
        <f>I10-K10</f>
      </c>
      <c r="K10" s="1">
        <v>104644400</v>
      </c>
      <c r="L10" s="1">
        <v>458292900</v>
      </c>
      <c r="M10" s="1">
        <f>L10-N10</f>
      </c>
      <c r="N10" s="1">
        <v>91342600</v>
      </c>
      <c r="O10" s="1">
        <v>401958300</v>
      </c>
      <c r="P10" s="1">
        <f>O10-Q10</f>
      </c>
      <c r="Q10" s="1">
        <v>79968100</v>
      </c>
      <c r="R10" s="1">
        <v>351567800</v>
      </c>
      <c r="S10" s="1">
        <f>R10-T10</f>
      </c>
      <c r="T10" s="1">
        <v>70032300</v>
      </c>
      <c r="U10" s="1">
        <v>172330500</v>
      </c>
      <c r="V10" s="1">
        <f>U10-W10</f>
      </c>
      <c r="W10" s="1">
        <v>34365100</v>
      </c>
      <c r="X10" s="1">
        <v>200473700</v>
      </c>
      <c r="Y10" s="1">
        <f>X10-Z10</f>
      </c>
      <c r="Z10" s="1">
        <v>39830000</v>
      </c>
      <c r="AA10" s="1">
        <v>66145100</v>
      </c>
      <c r="AB10" s="1">
        <f>AA10-AC10</f>
      </c>
      <c r="AC10" s="1">
        <v>12521700</v>
      </c>
      <c r="AD10" s="1">
        <v>96198800</v>
      </c>
      <c r="AE10" s="1">
        <f>AD10-AF10</f>
      </c>
      <c r="AF10" s="1">
        <v>18386000</v>
      </c>
      <c r="AG10" s="1">
        <v>93112500</v>
      </c>
      <c r="AH10" s="1">
        <f>AG10-AI10</f>
      </c>
      <c r="AI10" s="1">
        <v>18020200</v>
      </c>
      <c r="AJ10" s="1">
        <v>97390900</v>
      </c>
      <c r="AK10" s="1">
        <f>AJ10-AL10</f>
      </c>
      <c r="AL10" s="1">
        <v>18518500</v>
      </c>
      <c r="AM10" s="1">
        <v>2674</v>
      </c>
      <c r="AN10" s="1">
        <f>76903000+15656100</f>
      </c>
      <c r="AO10" s="1">
        <f>AN10-AP10</f>
      </c>
      <c r="AP10" s="1">
        <v>17368300</v>
      </c>
      <c r="AQ10" s="1">
        <v>2464</v>
      </c>
      <c r="AR10" s="1">
        <v>83388200</v>
      </c>
      <c r="AS10" s="1">
        <f>AR10-AT10</f>
      </c>
      <c r="AT10" s="1">
        <v>15649600</v>
      </c>
      <c r="AU10" s="1">
        <v>2649</v>
      </c>
      <c r="AV10" s="1">
        <v>87999400</v>
      </c>
      <c r="AW10" s="1">
        <f>AV10-AX10</f>
      </c>
      <c r="AX10" s="1">
        <v>16615600</v>
      </c>
      <c r="AY10" s="1">
        <v>2847</v>
      </c>
      <c r="AZ10" s="1">
        <v>96675300</v>
      </c>
      <c r="BA10" s="1">
        <f>AZ10-BB10</f>
      </c>
      <c r="BB10" s="1">
        <v>18269900</v>
      </c>
      <c r="BC10" s="1">
        <v>2409</v>
      </c>
      <c r="BD10" s="1">
        <v>72119200</v>
      </c>
      <c r="BE10" s="1">
        <f>BD10-BF10</f>
      </c>
      <c r="BF10" s="1">
        <v>13951600</v>
      </c>
      <c r="BG10" s="1">
        <v>1498</v>
      </c>
      <c r="BH10" s="1">
        <v>37278600</v>
      </c>
      <c r="BI10" s="1">
        <f>BH10-BJ10</f>
      </c>
      <c r="BJ10" s="1">
        <v>7088400</v>
      </c>
      <c r="BK10" s="1">
        <v>1481</v>
      </c>
      <c r="BL10" s="1">
        <v>31524100</v>
      </c>
      <c r="BM10" s="1">
        <f>BL10-BN10</f>
      </c>
      <c r="BN10" s="1">
        <v>6003700</v>
      </c>
      <c r="BO10" s="1">
        <v>1469</v>
      </c>
      <c r="BP10" s="1">
        <v>31701600</v>
      </c>
      <c r="BQ10" s="1">
        <f>BP10-BR10</f>
      </c>
      <c r="BR10" s="1">
        <v>6064000</v>
      </c>
      <c r="BS10" s="1">
        <v>1272</v>
      </c>
      <c r="BT10" s="1">
        <v>33296000</v>
      </c>
      <c r="BU10" s="1">
        <f>BT10-BV10</f>
      </c>
      <c r="BV10" s="1">
        <v>6433600</v>
      </c>
      <c r="BW10" s="1">
        <v>1507</v>
      </c>
      <c r="BX10" s="1">
        <v>33246900</v>
      </c>
      <c r="BY10" s="1">
        <f>BX10-BZ10</f>
      </c>
      <c r="BZ10" s="1">
        <v>6403200</v>
      </c>
      <c r="CA10" s="1">
        <v>1387</v>
      </c>
      <c r="CB10" s="1">
        <v>30466800</v>
      </c>
      <c r="CC10" s="1">
        <f>CB10-CD10</f>
      </c>
      <c r="CD10" s="1">
        <v>5899200</v>
      </c>
      <c r="CE10" s="2">
        <f>1176+328</f>
      </c>
      <c r="CF10" s="2">
        <f>26336900+6777600</f>
      </c>
      <c r="CG10" s="2">
        <f>21069600+5649400</f>
      </c>
      <c r="CH10" s="2">
        <f>CF10-CG10</f>
      </c>
      <c r="CI10" s="2">
        <v>546</v>
      </c>
      <c r="CJ10" s="2">
        <f>9298800+2510900</f>
      </c>
      <c r="CK10" s="2">
        <f>7439600+2096000</f>
      </c>
      <c r="CL10" s="2">
        <f>1859200+414900</f>
      </c>
      <c r="CM10" s="2">
        <f>CI10/11*31</f>
      </c>
      <c r="CN10" s="2">
        <f>CJ10/11*31</f>
      </c>
      <c r="CO10" s="2">
        <f>CK10/11*31</f>
      </c>
      <c r="CP10" s="2">
        <f>CL10/11*31</f>
      </c>
      <c r="CQ10" s="3">
        <f>(CM10-CE10)/CE10</f>
      </c>
      <c r="CR10" s="4" t="str">
        <v>They already start to testing our API</v>
      </c>
    </row>
    <row customHeight="true" ht="19" r="11">
      <c r="A11" s="5">
        <v>248484</v>
      </c>
      <c r="B11" s="6" t="str">
        <v>PT. Cipta Dwiputra Cemerlang</v>
      </c>
      <c r="C11" s="1">
        <v>18618300</v>
      </c>
      <c r="D11" s="1">
        <f>C11-E11</f>
      </c>
      <c r="E11" s="1">
        <v>2962000</v>
      </c>
      <c r="F11" s="1">
        <v>16417900</v>
      </c>
      <c r="G11" s="1">
        <f>F11-H11</f>
      </c>
      <c r="H11" s="1">
        <v>2624500</v>
      </c>
      <c r="I11" s="1">
        <v>18607200</v>
      </c>
      <c r="J11" s="1">
        <f>I11-K11</f>
      </c>
      <c r="K11" s="1">
        <v>2972500</v>
      </c>
      <c r="L11" s="1">
        <v>17992800</v>
      </c>
      <c r="M11" s="1">
        <f>L11-N11</f>
      </c>
      <c r="N11" s="1">
        <v>2881200</v>
      </c>
      <c r="O11" s="1">
        <v>21038700</v>
      </c>
      <c r="P11" s="1">
        <f>O11-Q11</f>
      </c>
      <c r="Q11" s="1">
        <v>3388700</v>
      </c>
      <c r="R11" s="1">
        <v>18706300</v>
      </c>
      <c r="S11" s="1">
        <f>R11-T11</f>
      </c>
      <c r="T11" s="1">
        <v>2997400</v>
      </c>
      <c r="U11" s="1">
        <v>23171400</v>
      </c>
      <c r="V11" s="1">
        <f>U11-W11</f>
      </c>
      <c r="W11" s="1">
        <v>4011600</v>
      </c>
      <c r="X11" s="1">
        <v>22668000</v>
      </c>
      <c r="Y11" s="1">
        <f>X11-Z11</f>
      </c>
      <c r="Z11" s="1">
        <v>4526700</v>
      </c>
      <c r="AA11" s="1">
        <v>23144000</v>
      </c>
      <c r="AB11" s="1">
        <f>AA11-AC11</f>
      </c>
      <c r="AC11" s="1">
        <v>4629400</v>
      </c>
      <c r="AD11" s="1">
        <v>23535900</v>
      </c>
      <c r="AE11" s="1">
        <f>AD11-AF11</f>
      </c>
      <c r="AF11" s="1">
        <v>4707600</v>
      </c>
      <c r="AG11" s="1">
        <v>23961300</v>
      </c>
      <c r="AH11" s="1">
        <f>AG11-AI11</f>
      </c>
      <c r="AI11" s="1">
        <v>4791800</v>
      </c>
      <c r="AJ11" s="1">
        <v>25026800</v>
      </c>
      <c r="AK11" s="1">
        <f>AJ11-AL11</f>
      </c>
      <c r="AL11" s="1">
        <v>5004900</v>
      </c>
      <c r="AM11" s="1">
        <v>2134</v>
      </c>
      <c r="AN11" s="1">
        <v>27010900</v>
      </c>
      <c r="AO11" s="1">
        <f>AN11-AP11</f>
      </c>
      <c r="AP11" s="1">
        <v>5402700</v>
      </c>
      <c r="AQ11" s="1">
        <v>1841</v>
      </c>
      <c r="AR11" s="1">
        <v>23212800</v>
      </c>
      <c r="AS11" s="1">
        <f>AR11-AT11</f>
      </c>
      <c r="AT11" s="1">
        <v>4643100</v>
      </c>
      <c r="AU11" s="1">
        <v>1893</v>
      </c>
      <c r="AV11" s="1">
        <v>23533100</v>
      </c>
      <c r="AW11" s="1">
        <f>AV11-AX11</f>
      </c>
      <c r="AX11" s="1">
        <v>4707900</v>
      </c>
      <c r="AY11" s="1">
        <v>2104</v>
      </c>
      <c r="AZ11" s="1">
        <v>26139900</v>
      </c>
      <c r="BA11" s="1">
        <f>AZ11-BB11</f>
      </c>
      <c r="BB11" s="1">
        <v>5229800</v>
      </c>
      <c r="BC11" s="1">
        <v>2106</v>
      </c>
      <c r="BD11" s="1">
        <v>26159900</v>
      </c>
      <c r="BE11" s="1">
        <f>BD11-BF11</f>
      </c>
      <c r="BF11" s="1">
        <v>5233800</v>
      </c>
      <c r="BG11" s="1">
        <v>1793</v>
      </c>
      <c r="BH11" s="1">
        <v>22193200</v>
      </c>
      <c r="BI11" s="1">
        <f>BH11-BJ11</f>
      </c>
      <c r="BJ11" s="1">
        <v>4440200</v>
      </c>
      <c r="BK11" s="1">
        <v>2156</v>
      </c>
      <c r="BL11" s="1">
        <v>26533200</v>
      </c>
      <c r="BM11" s="1">
        <f>BL11-BN11</f>
      </c>
      <c r="BN11" s="1">
        <v>5308700</v>
      </c>
      <c r="BO11" s="1">
        <v>2164</v>
      </c>
      <c r="BP11" s="1">
        <v>26608400</v>
      </c>
      <c r="BQ11" s="1">
        <f>BP11-BR11</f>
      </c>
      <c r="BR11" s="1">
        <v>5323600</v>
      </c>
      <c r="BS11" s="1">
        <v>1671</v>
      </c>
      <c r="BT11" s="1">
        <v>24686700</v>
      </c>
      <c r="BU11" s="1">
        <f>BT11-BV11</f>
      </c>
      <c r="BV11" s="1">
        <v>4938600</v>
      </c>
      <c r="BW11" s="1">
        <v>2297</v>
      </c>
      <c r="BX11" s="1">
        <v>28445700</v>
      </c>
      <c r="BY11" s="1">
        <f>BX11-BZ11</f>
      </c>
      <c r="BZ11" s="1">
        <v>5690800</v>
      </c>
      <c r="CA11" s="1">
        <v>1969</v>
      </c>
      <c r="CB11" s="1">
        <v>24389900</v>
      </c>
      <c r="CC11" s="1">
        <f>CB11-CD11</f>
      </c>
      <c r="CD11" s="1">
        <v>4879400</v>
      </c>
      <c r="CE11" s="2">
        <v>2308</v>
      </c>
      <c r="CF11" s="2">
        <v>28793200</v>
      </c>
      <c r="CG11" s="2">
        <v>23033100</v>
      </c>
      <c r="CH11" s="2">
        <f>CF11-CG11</f>
      </c>
      <c r="CI11" s="2">
        <v>660</v>
      </c>
      <c r="CJ11" s="2">
        <v>8250000</v>
      </c>
      <c r="CK11" s="2">
        <v>6599600</v>
      </c>
      <c r="CL11" s="2">
        <v>1650400</v>
      </c>
      <c r="CM11" s="2">
        <f>CI11/11*31</f>
      </c>
      <c r="CN11" s="2">
        <f>CJ11/11*31</f>
      </c>
      <c r="CO11" s="2">
        <f>CK11/11*31</f>
      </c>
      <c r="CP11" s="2">
        <f>CL11/11*31</f>
      </c>
      <c r="CQ11" s="3">
        <f>(CM11-CE11)/CE11</f>
      </c>
      <c r="CR11" s="4" t="str">
        <v>Yesterday they mentioned that will be leave on 31 Jan due to efficiency and using own couriers (We're on process to talk with them)</v>
      </c>
    </row>
    <row customHeight="true" ht="19" r="12">
      <c r="A12" s="5">
        <v>212944</v>
      </c>
      <c r="B12" s="6" t="str">
        <v>SSN</v>
      </c>
      <c r="C12" s="1">
        <v>19726000</v>
      </c>
      <c r="D12" s="1">
        <f>C12-E12</f>
      </c>
      <c r="E12" s="1">
        <v>3947000</v>
      </c>
      <c r="F12" s="1">
        <v>16331400</v>
      </c>
      <c r="G12" s="1">
        <f>F12-H12</f>
      </c>
      <c r="H12" s="1">
        <v>3267600</v>
      </c>
      <c r="I12" s="1">
        <v>16762400</v>
      </c>
      <c r="J12" s="1">
        <f>I12-K12</f>
      </c>
      <c r="K12" s="1">
        <v>3353800</v>
      </c>
      <c r="L12" s="1">
        <v>11723700</v>
      </c>
      <c r="M12" s="1">
        <f>L12-N12</f>
      </c>
      <c r="N12" s="1">
        <v>2345700</v>
      </c>
      <c r="O12" s="1">
        <v>16829700</v>
      </c>
      <c r="P12" s="1">
        <f>O12-Q12</f>
      </c>
      <c r="Q12" s="1">
        <v>3330100</v>
      </c>
      <c r="R12" s="1">
        <v>16082200</v>
      </c>
      <c r="S12" s="1">
        <f>R12-T12</f>
      </c>
      <c r="T12" s="1">
        <v>3198200</v>
      </c>
      <c r="U12" s="1">
        <v>19740800</v>
      </c>
      <c r="V12" s="1">
        <f>U12-W12</f>
      </c>
      <c r="W12" s="1">
        <v>3949700</v>
      </c>
      <c r="X12" s="1">
        <v>17862400</v>
      </c>
      <c r="Y12" s="1">
        <f>X12-Z12</f>
      </c>
      <c r="Z12" s="1">
        <v>3574200</v>
      </c>
      <c r="AA12" s="1">
        <v>16904800</v>
      </c>
      <c r="AB12" s="1">
        <f>AA12-AC12</f>
      </c>
      <c r="AC12" s="1">
        <v>3382400</v>
      </c>
      <c r="AD12" s="1">
        <v>18978400</v>
      </c>
      <c r="AE12" s="1">
        <f>AD12-AF12</f>
      </c>
      <c r="AF12" s="1">
        <v>3797500</v>
      </c>
      <c r="AG12" s="1">
        <v>16480300</v>
      </c>
      <c r="AH12" s="1">
        <f>AG12-AI12</f>
      </c>
      <c r="AI12" s="1">
        <v>3297300</v>
      </c>
      <c r="AJ12" s="1">
        <v>14848900</v>
      </c>
      <c r="AK12" s="1">
        <f>AJ12-AL12</f>
      </c>
      <c r="AL12" s="1">
        <v>2971100</v>
      </c>
      <c r="AM12" s="1">
        <v>488</v>
      </c>
      <c r="AN12" s="1">
        <v>19094250</v>
      </c>
      <c r="AO12" s="1">
        <f>AN12-AP12</f>
      </c>
      <c r="AP12" s="1">
        <v>2969400</v>
      </c>
      <c r="AQ12" s="1">
        <v>556</v>
      </c>
      <c r="AR12" s="1">
        <v>21677000</v>
      </c>
      <c r="AS12" s="1">
        <f>AR12-AT12</f>
      </c>
      <c r="AT12" s="1">
        <v>3375700</v>
      </c>
      <c r="AU12" s="1">
        <v>566</v>
      </c>
      <c r="AV12" s="1">
        <v>24816250</v>
      </c>
      <c r="AW12" s="1">
        <f>AV12-AX12</f>
      </c>
      <c r="AX12" s="1">
        <v>3395200</v>
      </c>
      <c r="AY12" s="1">
        <v>514</v>
      </c>
      <c r="AZ12" s="1">
        <v>20618750</v>
      </c>
      <c r="BA12" s="1">
        <f>AZ12-BB12</f>
      </c>
      <c r="BB12" s="1">
        <v>3096500</v>
      </c>
      <c r="BC12" s="1">
        <f>493+44</f>
      </c>
      <c r="BD12" s="1">
        <v>21027750</v>
      </c>
      <c r="BE12" s="1">
        <f>BD12-BF12</f>
      </c>
      <c r="BF12" s="1">
        <v>3242700</v>
      </c>
      <c r="BG12" s="1">
        <v>563</v>
      </c>
      <c r="BH12" s="1">
        <v>21849750</v>
      </c>
      <c r="BI12" s="1">
        <f>BH12-BJ12</f>
      </c>
      <c r="BJ12" s="1">
        <v>3403700</v>
      </c>
      <c r="BK12" s="1">
        <v>632</v>
      </c>
      <c r="BL12" s="1">
        <v>24331750</v>
      </c>
      <c r="BM12" s="1">
        <f>BL12-BN12</f>
      </c>
      <c r="BN12" s="1">
        <v>3827500</v>
      </c>
      <c r="BO12" s="1">
        <v>558</v>
      </c>
      <c r="BP12" s="1">
        <v>22047250</v>
      </c>
      <c r="BQ12" s="1">
        <f>BP12-BR12</f>
      </c>
      <c r="BR12" s="1">
        <v>3380800</v>
      </c>
      <c r="BS12" s="1">
        <v>584</v>
      </c>
      <c r="BT12" s="1">
        <v>23747000</v>
      </c>
      <c r="BU12" s="1">
        <f>BT12-BV12</f>
      </c>
      <c r="BV12" s="1">
        <v>3592700</v>
      </c>
      <c r="BW12" s="1">
        <f>499+198</f>
      </c>
      <c r="BX12" s="1">
        <v>26532000</v>
      </c>
      <c r="BY12" s="1">
        <f>BX12-BZ12</f>
      </c>
      <c r="BZ12" s="1">
        <v>4133800</v>
      </c>
      <c r="CA12" s="1">
        <v>582</v>
      </c>
      <c r="CB12" s="1">
        <v>18396700</v>
      </c>
      <c r="CC12" s="1">
        <f>CB12-CD12</f>
      </c>
      <c r="CD12" s="1">
        <v>3680700</v>
      </c>
      <c r="CE12" s="2">
        <v>560</v>
      </c>
      <c r="CF12" s="2">
        <v>16911900</v>
      </c>
      <c r="CG12" s="2">
        <v>13528200</v>
      </c>
      <c r="CH12" s="2">
        <f>CF12-CG12</f>
      </c>
      <c r="CI12" s="2">
        <v>172</v>
      </c>
      <c r="CJ12" s="2">
        <v>5237200</v>
      </c>
      <c r="CK12" s="2">
        <v>4189200</v>
      </c>
      <c r="CL12" s="2">
        <v>1048000</v>
      </c>
      <c r="CM12" s="2">
        <f>CI12/11*31</f>
      </c>
      <c r="CN12" s="2">
        <f>CJ12/11*31</f>
      </c>
      <c r="CO12" s="2">
        <f>CK12/11*31</f>
      </c>
      <c r="CP12" s="2">
        <f>CL12/11*31</f>
      </c>
      <c r="CQ12" s="3">
        <f>(CM12-CE12)/CE12</f>
      </c>
      <c r="CR12" s="4" t="str">
        <v>Decrease due to holiday</v>
      </c>
    </row>
    <row customHeight="true" ht="19" r="13">
      <c r="A13" s="5">
        <v>955298</v>
      </c>
      <c r="B13" s="10" t="str">
        <v>Alpro</v>
      </c>
      <c r="C13" s="1">
        <v>0</v>
      </c>
      <c r="D13" s="1">
        <f>C13-E13</f>
      </c>
      <c r="E13" s="1">
        <v>0</v>
      </c>
      <c r="F13" s="1">
        <v>0</v>
      </c>
      <c r="G13" s="1">
        <f>F13-H13</f>
      </c>
      <c r="H13" s="1">
        <v>0</v>
      </c>
      <c r="I13" s="1">
        <v>0</v>
      </c>
      <c r="J13" s="1">
        <f>I13-K13</f>
      </c>
      <c r="K13" s="1">
        <v>0</v>
      </c>
      <c r="L13" s="1">
        <v>0</v>
      </c>
      <c r="M13" s="1">
        <f>L13-N13</f>
      </c>
      <c r="N13" s="1">
        <v>0</v>
      </c>
      <c r="O13" s="1">
        <v>0</v>
      </c>
      <c r="P13" s="1">
        <f>O13-Q13</f>
      </c>
      <c r="Q13" s="1">
        <v>0</v>
      </c>
      <c r="R13" s="1">
        <v>0</v>
      </c>
      <c r="S13" s="1">
        <f>R13-T13</f>
      </c>
      <c r="T13" s="1">
        <v>0</v>
      </c>
      <c r="U13" s="1">
        <v>0</v>
      </c>
      <c r="V13" s="1">
        <f>U13-W13</f>
      </c>
      <c r="W13" s="1">
        <v>0</v>
      </c>
      <c r="X13" s="1">
        <v>0</v>
      </c>
      <c r="Y13" s="1">
        <f>X13-Z13</f>
      </c>
      <c r="Z13" s="1">
        <v>0</v>
      </c>
      <c r="AA13" s="1">
        <v>0</v>
      </c>
      <c r="AB13" s="1">
        <f>AA13-AC13</f>
      </c>
      <c r="AC13" s="1">
        <v>0</v>
      </c>
      <c r="AD13" s="1">
        <v>12500</v>
      </c>
      <c r="AE13" s="1">
        <f>AD13-AF13</f>
      </c>
      <c r="AF13" s="1">
        <v>-1500</v>
      </c>
      <c r="AG13" s="1">
        <v>124400</v>
      </c>
      <c r="AH13" s="1">
        <f>AG13-AI13</f>
      </c>
      <c r="AI13" s="1">
        <v>17900</v>
      </c>
      <c r="AJ13" s="1">
        <v>22811500</v>
      </c>
      <c r="AK13" s="1">
        <f>AJ13-AL13</f>
      </c>
      <c r="AL13" s="1">
        <v>5061400</v>
      </c>
      <c r="AM13" s="1">
        <v>579</v>
      </c>
      <c r="AN13" s="1">
        <v>9279800</v>
      </c>
      <c r="AO13" s="1">
        <f>AN13-AP13</f>
      </c>
      <c r="AP13" s="1">
        <v>2012500</v>
      </c>
      <c r="AQ13" s="1">
        <v>435</v>
      </c>
      <c r="AR13" s="1">
        <v>7094200</v>
      </c>
      <c r="AS13" s="1">
        <f>AR13-AT13</f>
      </c>
      <c r="AT13" s="1">
        <v>1523700</v>
      </c>
      <c r="AU13" s="1">
        <v>527</v>
      </c>
      <c r="AV13" s="1">
        <v>8912700</v>
      </c>
      <c r="AW13" s="1">
        <f>AV13-AX13</f>
      </c>
      <c r="AX13" s="1">
        <v>1954900</v>
      </c>
      <c r="AY13" s="1">
        <v>580</v>
      </c>
      <c r="AZ13" s="1">
        <v>9368100</v>
      </c>
      <c r="BA13" s="1">
        <f>AZ13-BB13</f>
      </c>
      <c r="BB13" s="1">
        <v>2048800</v>
      </c>
      <c r="BC13" s="1">
        <v>802</v>
      </c>
      <c r="BD13" s="1">
        <v>14497900</v>
      </c>
      <c r="BE13" s="1">
        <f>BD13-BF13</f>
      </c>
      <c r="BF13" s="1">
        <v>3090100</v>
      </c>
      <c r="BG13" s="1">
        <v>954</v>
      </c>
      <c r="BH13" s="1">
        <v>15671800</v>
      </c>
      <c r="BI13" s="1">
        <f>BH13-BJ13</f>
      </c>
      <c r="BJ13" s="1">
        <v>3344100</v>
      </c>
      <c r="BK13" s="1">
        <v>1074</v>
      </c>
      <c r="BL13" s="1">
        <v>17989600</v>
      </c>
      <c r="BM13" s="1">
        <f>BL13-BN13</f>
      </c>
      <c r="BN13" s="1">
        <v>3801300</v>
      </c>
      <c r="BO13" s="1">
        <v>1343</v>
      </c>
      <c r="BP13" s="1">
        <v>22078900</v>
      </c>
      <c r="BQ13" s="1">
        <f>BP13-BR13</f>
      </c>
      <c r="BR13" s="1">
        <v>4680900</v>
      </c>
      <c r="BS13" s="1">
        <v>921</v>
      </c>
      <c r="BT13" s="1">
        <v>17649900</v>
      </c>
      <c r="BU13" s="1">
        <f>BT13-BV13</f>
      </c>
      <c r="BV13" s="1">
        <v>3747300</v>
      </c>
      <c r="BW13" s="1">
        <v>1436</v>
      </c>
      <c r="BX13" s="1">
        <v>22098800</v>
      </c>
      <c r="BY13" s="1">
        <f>BX13-BZ13</f>
      </c>
      <c r="BZ13" s="1">
        <v>4733000</v>
      </c>
      <c r="CA13" s="1">
        <v>1847</v>
      </c>
      <c r="CB13" s="1">
        <v>26988600</v>
      </c>
      <c r="CC13" s="1">
        <f>CB13-CD13</f>
      </c>
      <c r="CD13" s="1">
        <v>5730000</v>
      </c>
      <c r="CE13" s="2">
        <v>1999</v>
      </c>
      <c r="CF13" s="2">
        <v>29790700</v>
      </c>
      <c r="CG13" s="2">
        <v>23574600</v>
      </c>
      <c r="CH13" s="2">
        <f>CF13-CG13</f>
      </c>
      <c r="CI13" s="2">
        <v>634</v>
      </c>
      <c r="CJ13" s="2">
        <v>9131900</v>
      </c>
      <c r="CK13" s="2">
        <v>7201500</v>
      </c>
      <c r="CL13" s="2">
        <v>1930400</v>
      </c>
      <c r="CM13" s="2">
        <f>CI13/11*31</f>
      </c>
      <c r="CN13" s="2">
        <f>CJ13/11*31</f>
      </c>
      <c r="CO13" s="2">
        <f>CK13/11*31</f>
      </c>
      <c r="CP13" s="2">
        <f>CL13/11*31</f>
      </c>
      <c r="CQ13" s="3">
        <f>(CM13-CE13)/CE13</f>
      </c>
      <c r="CR13" s="4" t="str">
        <v>Decrease due to holiday</v>
      </c>
    </row>
    <row customHeight="true" ht="19" r="14">
      <c r="A14" s="8" t="str">
        <v>238666, 286265, 322799, 792916</v>
      </c>
      <c r="B14" s="8" t="str">
        <v>Cokro Group</v>
      </c>
      <c r="C14" s="1">
        <v>59654500</v>
      </c>
      <c r="D14" s="1">
        <f>C14-E14</f>
      </c>
      <c r="E14" s="1">
        <f>C14*20.5%</f>
      </c>
      <c r="F14" s="1">
        <v>55248300</v>
      </c>
      <c r="G14" s="1">
        <f>F14-H14</f>
      </c>
      <c r="H14" s="1">
        <f>F14*20.5%</f>
      </c>
      <c r="I14" s="1">
        <v>52662300</v>
      </c>
      <c r="J14" s="1">
        <f>I14-K14</f>
      </c>
      <c r="K14" s="1">
        <f>I14*20.5%</f>
      </c>
      <c r="L14" s="1">
        <v>53836800</v>
      </c>
      <c r="M14" s="1">
        <f>L14-N14</f>
      </c>
      <c r="N14" s="1">
        <f>L14*20.5%</f>
      </c>
      <c r="O14" s="1">
        <v>56809500</v>
      </c>
      <c r="P14" s="1">
        <f>O14-Q14</f>
      </c>
      <c r="Q14" s="1">
        <f>O14*20.5%</f>
      </c>
      <c r="R14" s="1">
        <v>52480200</v>
      </c>
      <c r="S14" s="1">
        <f>R14-T14</f>
      </c>
      <c r="T14" s="1">
        <f>R14*20.5%</f>
      </c>
      <c r="U14" s="1">
        <v>53736100</v>
      </c>
      <c r="V14" s="1">
        <f>U14-W14</f>
      </c>
      <c r="W14" s="1">
        <f>U14*20.5%</f>
      </c>
      <c r="X14" s="1">
        <v>49412400</v>
      </c>
      <c r="Y14" s="1">
        <f>X14-Z14</f>
      </c>
      <c r="Z14" s="1">
        <f>X14*20.5%</f>
      </c>
      <c r="AA14" s="1">
        <v>42626300</v>
      </c>
      <c r="AB14" s="1">
        <f>AA14-AC14</f>
      </c>
      <c r="AC14" s="1">
        <f>AA14*20.5%</f>
      </c>
      <c r="AD14" s="1">
        <v>39131000</v>
      </c>
      <c r="AE14" s="1">
        <f>AD14-AF14</f>
      </c>
      <c r="AF14" s="1">
        <f>AD14*20.5%</f>
      </c>
      <c r="AG14" s="1">
        <v>29468700</v>
      </c>
      <c r="AH14" s="1">
        <f>AG14-AI14</f>
      </c>
      <c r="AI14" s="1">
        <f>AG14*20.5%</f>
      </c>
      <c r="AJ14" s="1">
        <v>27378100</v>
      </c>
      <c r="AK14" s="1">
        <f>AJ14-AL14</f>
      </c>
      <c r="AL14" s="1">
        <f>AJ14*20.5%</f>
      </c>
      <c r="AM14" s="1">
        <f>405+446+289+183</f>
      </c>
      <c r="AN14" s="1">
        <v>26583400</v>
      </c>
      <c r="AO14" s="1">
        <f>AN14-AP14</f>
      </c>
      <c r="AP14" s="1">
        <v>5453700</v>
      </c>
      <c r="AQ14" s="1">
        <f>171+229+449+348</f>
      </c>
      <c r="AR14" s="1">
        <v>23747300</v>
      </c>
      <c r="AS14" s="1">
        <f>AR14-AT14</f>
      </c>
      <c r="AT14" s="1">
        <v>4473300</v>
      </c>
      <c r="AU14" s="1">
        <v>1187</v>
      </c>
      <c r="AV14" s="1">
        <v>23124700</v>
      </c>
      <c r="AW14" s="1">
        <f>AV14-AX14</f>
      </c>
      <c r="AX14" s="1">
        <v>5607700</v>
      </c>
      <c r="AY14" s="1">
        <f>181+274+395+220</f>
      </c>
      <c r="AZ14" s="1">
        <v>19715000</v>
      </c>
      <c r="BA14" s="1">
        <f>AZ14-BB14</f>
      </c>
      <c r="BB14" s="1">
        <v>3775300</v>
      </c>
      <c r="BC14" s="1">
        <v>1038</v>
      </c>
      <c r="BD14" s="1">
        <v>19186400</v>
      </c>
      <c r="BE14" s="1">
        <f>BD14-BF14</f>
      </c>
      <c r="BF14" s="1">
        <v>4211600</v>
      </c>
      <c r="BG14" s="1">
        <v>1056</v>
      </c>
      <c r="BH14" s="1">
        <v>19224200</v>
      </c>
      <c r="BI14" s="1">
        <f>BH14-BJ14</f>
      </c>
      <c r="BJ14" s="1">
        <v>4136100</v>
      </c>
      <c r="BK14" s="1">
        <f>204+299+272+318</f>
      </c>
      <c r="BL14" s="1">
        <v>20019900</v>
      </c>
      <c r="BM14" s="1">
        <f>BL14-BN14</f>
      </c>
      <c r="BN14" s="1">
        <v>4030000</v>
      </c>
      <c r="BO14" s="1">
        <v>1025</v>
      </c>
      <c r="BP14" s="1">
        <v>18441200</v>
      </c>
      <c r="BQ14" s="1">
        <f>BP14-BR14</f>
      </c>
      <c r="BR14" s="1">
        <v>3839600</v>
      </c>
      <c r="BS14" s="1">
        <v>1123</v>
      </c>
      <c r="BT14" s="1">
        <v>20670300</v>
      </c>
      <c r="BU14" s="1">
        <f>BT14-BV14</f>
      </c>
      <c r="BV14" s="1">
        <v>4411300</v>
      </c>
      <c r="BW14" s="1">
        <v>1082</v>
      </c>
      <c r="BX14" s="1">
        <v>19881700</v>
      </c>
      <c r="BY14" s="1">
        <f>BX14-BZ14</f>
      </c>
      <c r="BZ14" s="1">
        <v>4340000</v>
      </c>
      <c r="CA14" s="1">
        <f>173+332+463+324</f>
      </c>
      <c r="CB14" s="1">
        <v>21944400</v>
      </c>
      <c r="CC14" s="1">
        <f>CB14-CD14</f>
      </c>
      <c r="CD14" s="1">
        <v>4678200</v>
      </c>
      <c r="CE14" s="2">
        <f>369+21+542+406+193</f>
      </c>
      <c r="CF14" s="2">
        <f>8793800+6165000+9035900+5232800+2197000</f>
      </c>
      <c r="CG14" s="2">
        <f>6990300+489100+7066300+4170600+1733500</f>
      </c>
      <c r="CH14" s="2">
        <f>CF14-CG14</f>
      </c>
      <c r="CI14" s="2">
        <f>63+120+171+145</f>
      </c>
      <c r="CJ14" s="2">
        <f>695900+1677100+2957800+3092900+93300</f>
      </c>
      <c r="CK14" s="2">
        <f>548400+1337700+2298000+2459400+74000</f>
      </c>
      <c r="CL14" s="2">
        <f>147500+339400+659800+633500+19300</f>
      </c>
      <c r="CM14" s="2">
        <f>CI14/11*31</f>
      </c>
      <c r="CN14" s="2">
        <f>CJ14/11*31</f>
      </c>
      <c r="CO14" s="2">
        <f>CK14/11*31</f>
      </c>
      <c r="CP14" s="2">
        <f>CL14/11*31</f>
      </c>
      <c r="CQ14" s="3">
        <f>(CM14-CE14)/CE14</f>
      </c>
      <c r="CR14" s="4" t="str">
        <v>Decrease due to holiday</v>
      </c>
    </row>
    <row customHeight="true" ht="19" r="15">
      <c r="A15" s="5">
        <v>250720</v>
      </c>
      <c r="B15" s="8" t="str">
        <v>Selectro</v>
      </c>
      <c r="C15" s="1">
        <v>16830500</v>
      </c>
      <c r="D15" s="1">
        <f>C15-E15</f>
      </c>
      <c r="E15" s="1">
        <v>4158700</v>
      </c>
      <c r="F15" s="1">
        <v>15099500</v>
      </c>
      <c r="G15" s="1">
        <f>F15-H15</f>
      </c>
      <c r="H15" s="1">
        <v>3700400</v>
      </c>
      <c r="I15" s="1">
        <v>14850300</v>
      </c>
      <c r="J15" s="1">
        <f>I15-K15</f>
      </c>
      <c r="K15" s="1">
        <v>3721900</v>
      </c>
      <c r="L15" s="1">
        <v>11873800</v>
      </c>
      <c r="M15" s="1">
        <f>L15-N15</f>
      </c>
      <c r="N15" s="1">
        <v>2878500</v>
      </c>
      <c r="O15" s="1">
        <v>15130300</v>
      </c>
      <c r="P15" s="1">
        <f>O15-Q15</f>
      </c>
      <c r="Q15" s="1">
        <v>3886200</v>
      </c>
      <c r="R15" s="1">
        <v>13493000</v>
      </c>
      <c r="S15" s="1">
        <f>R15-T15</f>
      </c>
      <c r="T15" s="1">
        <v>3555500</v>
      </c>
      <c r="U15" s="1">
        <v>15147300</v>
      </c>
      <c r="V15" s="1">
        <f>U15-W15</f>
      </c>
      <c r="W15" s="1">
        <v>4015500</v>
      </c>
      <c r="X15" s="1">
        <v>17139500</v>
      </c>
      <c r="Y15" s="1">
        <f>X15-Z15</f>
      </c>
      <c r="Z15" s="1">
        <v>4553500</v>
      </c>
      <c r="AA15" s="1">
        <v>14099600</v>
      </c>
      <c r="AB15" s="1">
        <f>AA15-AC15</f>
      </c>
      <c r="AC15" s="1">
        <v>3723400</v>
      </c>
      <c r="AD15" s="1">
        <v>16599900</v>
      </c>
      <c r="AE15" s="1">
        <f>AD15-AF15</f>
      </c>
      <c r="AF15" s="1">
        <v>4557300</v>
      </c>
      <c r="AG15" s="1">
        <v>17153400</v>
      </c>
      <c r="AH15" s="1">
        <f>AG15-AI15</f>
      </c>
      <c r="AI15" s="1">
        <v>5020000</v>
      </c>
      <c r="AJ15" s="1">
        <v>18367800</v>
      </c>
      <c r="AK15" s="1">
        <f>AJ15-AL15</f>
      </c>
      <c r="AL15" s="1">
        <v>6185500</v>
      </c>
      <c r="AM15" s="1">
        <f>377+129</f>
      </c>
      <c r="AN15" s="1">
        <v>12470600</v>
      </c>
      <c r="AO15" s="1">
        <f>AN15-AP15</f>
      </c>
      <c r="AP15" s="1">
        <v>4471900</v>
      </c>
      <c r="AQ15" s="1">
        <v>479</v>
      </c>
      <c r="AR15" s="1">
        <v>11356800</v>
      </c>
      <c r="AS15" s="1">
        <f>AR15-AT15</f>
      </c>
      <c r="AT15" s="1">
        <v>4275100</v>
      </c>
      <c r="AU15" s="1">
        <v>431</v>
      </c>
      <c r="AV15" s="1">
        <v>10734800</v>
      </c>
      <c r="AW15" s="1">
        <f>AV15-AX15</f>
      </c>
      <c r="AX15" s="1">
        <v>3918800</v>
      </c>
      <c r="AY15" s="1">
        <v>310</v>
      </c>
      <c r="AZ15" s="1">
        <v>8451400</v>
      </c>
      <c r="BA15" s="1">
        <f>AZ15-BB15</f>
      </c>
      <c r="BB15" s="1">
        <v>3230200</v>
      </c>
      <c r="BC15" s="1">
        <v>597</v>
      </c>
      <c r="BD15" s="1">
        <v>16045400</v>
      </c>
      <c r="BE15" s="1">
        <f>BD15-BF15</f>
      </c>
      <c r="BF15" s="1">
        <v>5791500</v>
      </c>
      <c r="BG15" s="1">
        <f>587+231</f>
      </c>
      <c r="BH15" s="1">
        <v>21020500</v>
      </c>
      <c r="BI15" s="1">
        <f>BH15-BJ15</f>
      </c>
      <c r="BJ15" s="1">
        <v>7778400</v>
      </c>
      <c r="BK15" s="1">
        <f>781+354</f>
      </c>
      <c r="BL15" s="1">
        <v>29299300</v>
      </c>
      <c r="BM15" s="1">
        <f>BL15-BN15</f>
      </c>
      <c r="BN15" s="1">
        <v>9982200</v>
      </c>
      <c r="BO15" s="1">
        <v>1139</v>
      </c>
      <c r="BP15" s="1">
        <v>25657100</v>
      </c>
      <c r="BQ15" s="1">
        <f>BP15-BR15</f>
      </c>
      <c r="BR15" s="1">
        <v>5216500</v>
      </c>
      <c r="BS15" s="1">
        <v>992</v>
      </c>
      <c r="BT15" s="1">
        <v>21343900</v>
      </c>
      <c r="BU15" s="1">
        <f>BT15-BV15</f>
      </c>
      <c r="BV15" s="1">
        <v>3973100</v>
      </c>
      <c r="BW15" s="1">
        <v>956</v>
      </c>
      <c r="BX15" s="1">
        <v>19383100</v>
      </c>
      <c r="BY15" s="1">
        <f>BX15-BZ15</f>
      </c>
      <c r="BZ15" s="1">
        <v>3946100</v>
      </c>
      <c r="CA15" s="1">
        <v>773</v>
      </c>
      <c r="CB15" s="1">
        <v>16240400</v>
      </c>
      <c r="CC15" s="1">
        <f>CB15-CD15</f>
      </c>
      <c r="CD15" s="1">
        <v>3297200</v>
      </c>
      <c r="CE15" s="2">
        <v>612</v>
      </c>
      <c r="CF15" s="2">
        <v>13539700</v>
      </c>
      <c r="CG15" s="2">
        <v>10791500</v>
      </c>
      <c r="CH15" s="2">
        <f>CF15-CG15</f>
      </c>
      <c r="CI15" s="2">
        <v>248</v>
      </c>
      <c r="CJ15" s="2">
        <v>4748200</v>
      </c>
      <c r="CK15" s="2">
        <v>3784000</v>
      </c>
      <c r="CL15" s="2">
        <v>964200</v>
      </c>
      <c r="CM15" s="2">
        <f>CI15/11*31</f>
      </c>
      <c r="CN15" s="2">
        <f>CJ15/11*31</f>
      </c>
      <c r="CO15" s="2">
        <f>CK15/11*31</f>
      </c>
      <c r="CP15" s="2">
        <f>CL15/11*31</f>
      </c>
      <c r="CQ15" s="3">
        <f>(CM15-CE15)/CE15</f>
      </c>
      <c r="CR15" s="4" t="str">
        <v>Starting back to normal after holiday</v>
      </c>
    </row>
    <row customHeight="true" ht="19" r="16">
      <c r="A16" s="5">
        <v>831633</v>
      </c>
      <c r="B16" s="6" t="str">
        <v>Lazada Indonesia Invoice</v>
      </c>
      <c r="C16" s="1">
        <v>86287503</v>
      </c>
      <c r="D16" s="1">
        <f>C16-E16</f>
      </c>
      <c r="E16" s="1">
        <v>21035603</v>
      </c>
      <c r="F16" s="1">
        <v>84245929</v>
      </c>
      <c r="G16" s="1">
        <f>F16-H16</f>
      </c>
      <c r="H16" s="1">
        <v>20747729</v>
      </c>
      <c r="I16" s="1">
        <v>95395990</v>
      </c>
      <c r="J16" s="1">
        <f>I16-K16</f>
      </c>
      <c r="K16" s="1">
        <v>23527390</v>
      </c>
      <c r="L16" s="1">
        <v>71272994</v>
      </c>
      <c r="M16" s="1">
        <f>L16-N16</f>
      </c>
      <c r="N16" s="1">
        <v>17561794</v>
      </c>
      <c r="O16" s="1">
        <v>74053501</v>
      </c>
      <c r="P16" s="1">
        <f>O16-Q16</f>
      </c>
      <c r="Q16" s="1">
        <v>17940201</v>
      </c>
      <c r="R16" s="1">
        <v>64179148</v>
      </c>
      <c r="S16" s="1">
        <f>R16-T16</f>
      </c>
      <c r="T16" s="1">
        <v>15576948</v>
      </c>
      <c r="U16" s="1">
        <v>63087885</v>
      </c>
      <c r="V16" s="1">
        <f>U16-W16</f>
      </c>
      <c r="W16" s="1">
        <v>15268685</v>
      </c>
      <c r="X16" s="1">
        <v>59397101</v>
      </c>
      <c r="Y16" s="1">
        <f>X16-Z16</f>
      </c>
      <c r="Z16" s="1">
        <v>14231801</v>
      </c>
      <c r="AA16" s="1">
        <v>49417888</v>
      </c>
      <c r="AB16" s="1">
        <f>AA16-AC16</f>
      </c>
      <c r="AC16" s="1">
        <v>11209188</v>
      </c>
      <c r="AD16" s="1">
        <v>70873001</v>
      </c>
      <c r="AE16" s="1">
        <f>AD16-AF16</f>
      </c>
      <c r="AF16" s="1">
        <v>15776201</v>
      </c>
      <c r="AG16" s="1">
        <v>67352142</v>
      </c>
      <c r="AH16" s="1">
        <f>AG16-AI16</f>
      </c>
      <c r="AI16" s="1">
        <v>15137742</v>
      </c>
      <c r="AJ16" s="1">
        <v>12485001</v>
      </c>
      <c r="AK16" s="1">
        <f>AJ16-AL16</f>
      </c>
      <c r="AL16" s="1">
        <v>2758401</v>
      </c>
      <c r="AM16" s="1">
        <v>2264</v>
      </c>
      <c r="AN16" s="1">
        <v>37198074</v>
      </c>
      <c r="AO16" s="1">
        <f>AN16-AP16</f>
      </c>
      <c r="AP16" s="1">
        <v>8472149</v>
      </c>
      <c r="AQ16" s="1">
        <v>2336</v>
      </c>
      <c r="AR16" s="1">
        <v>38225965</v>
      </c>
      <c r="AS16" s="1">
        <f>AR16-AT16</f>
      </c>
      <c r="AT16" s="1">
        <v>8695347</v>
      </c>
      <c r="AU16" s="1">
        <v>518</v>
      </c>
      <c r="AV16" s="1">
        <v>9331700</v>
      </c>
      <c r="AW16" s="1">
        <f>AV16-AX16</f>
      </c>
      <c r="AX16" s="1">
        <v>2042400</v>
      </c>
      <c r="AY16" s="1">
        <v>582</v>
      </c>
      <c r="AZ16" s="1">
        <v>9837300</v>
      </c>
      <c r="BA16" s="1">
        <f>AZ16-BB16</f>
      </c>
      <c r="BB16" s="1">
        <v>2145700</v>
      </c>
      <c r="BC16" s="1">
        <v>2627</v>
      </c>
      <c r="BD16" s="1">
        <v>42197083</v>
      </c>
      <c r="BE16" s="1">
        <f>BD16-BF16</f>
      </c>
      <c r="BF16" s="1">
        <v>9442725</v>
      </c>
      <c r="BG16" s="1">
        <v>1998</v>
      </c>
      <c r="BH16" s="1">
        <v>32103333</v>
      </c>
      <c r="BI16" s="1">
        <f>BH16-BJ16</f>
      </c>
      <c r="BJ16" s="1">
        <v>7164473</v>
      </c>
      <c r="BK16" s="1">
        <v>1674</v>
      </c>
      <c r="BL16" s="1">
        <v>26304304</v>
      </c>
      <c r="BM16" s="1">
        <f>BL16-BN16</f>
      </c>
      <c r="BN16" s="1">
        <v>5948170</v>
      </c>
      <c r="BO16" s="1">
        <v>1060</v>
      </c>
      <c r="BP16" s="1">
        <v>17199456</v>
      </c>
      <c r="BQ16" s="1">
        <f>BP16-BR16</f>
      </c>
      <c r="BR16" s="1">
        <v>3911988</v>
      </c>
      <c r="BS16" s="1">
        <v>827</v>
      </c>
      <c r="BT16" s="1">
        <v>17089408</v>
      </c>
      <c r="BU16" s="1">
        <f>BT16-BV16</f>
      </c>
      <c r="BV16" s="1">
        <v>3863927</v>
      </c>
      <c r="BW16" s="1">
        <v>757</v>
      </c>
      <c r="BX16" s="1">
        <v>12419612</v>
      </c>
      <c r="BY16" s="1">
        <f>BX16-BZ16</f>
      </c>
      <c r="BZ16" s="1">
        <v>2801119</v>
      </c>
      <c r="CA16" s="1">
        <v>660</v>
      </c>
      <c r="CB16" s="1">
        <v>10708132</v>
      </c>
      <c r="CC16" s="1">
        <f>CB16-CD16</f>
      </c>
      <c r="CD16" s="1">
        <v>2482732</v>
      </c>
      <c r="CE16" s="2">
        <v>322</v>
      </c>
      <c r="CF16" s="2">
        <v>5279341</v>
      </c>
      <c r="CG16" s="2">
        <v>4077700</v>
      </c>
      <c r="CH16" s="2">
        <f>CF16-CG16</f>
      </c>
      <c r="CI16" s="2">
        <v>19</v>
      </c>
      <c r="CJ16" s="2">
        <v>250231</v>
      </c>
      <c r="CK16" s="2">
        <v>186600</v>
      </c>
      <c r="CL16" s="2">
        <v>63631</v>
      </c>
      <c r="CM16" s="2">
        <f>CI16/11*31</f>
      </c>
      <c r="CN16" s="2">
        <f>CJ16/11*31</f>
      </c>
      <c r="CO16" s="2">
        <f>CK16/11*31</f>
      </c>
      <c r="CP16" s="2">
        <f>CL16/11*31</f>
      </c>
      <c r="CQ16" s="3">
        <f>(CM16-CE16)/CE16</f>
      </c>
      <c r="CR16" s="4" t="str">
        <v>The volume keep droping, we're on process to have meeting regardings the volume.</v>
      </c>
    </row>
    <row customHeight="true" ht="19" r="17">
      <c r="A17" s="5"/>
      <c r="B17" s="10" t="str">
        <v>DHL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4"/>
    </row>
    <row customHeight="true" ht="19" r="18">
      <c r="A18" s="5">
        <v>379712</v>
      </c>
      <c r="B18" s="10" t="str">
        <v>Aliansi Wikrama Dana</v>
      </c>
      <c r="C18" s="1">
        <v>14547300</v>
      </c>
      <c r="D18" s="1">
        <f>C18-E18</f>
      </c>
      <c r="E18" s="1">
        <v>3094000</v>
      </c>
      <c r="F18" s="1">
        <v>15529500</v>
      </c>
      <c r="G18" s="1">
        <f>F18-H18</f>
      </c>
      <c r="H18" s="1">
        <v>3481300</v>
      </c>
      <c r="I18" s="1">
        <v>22663400</v>
      </c>
      <c r="J18" s="1">
        <f>I18-K18</f>
      </c>
      <c r="K18" s="1">
        <v>4645000</v>
      </c>
      <c r="L18" s="1">
        <v>36093900</v>
      </c>
      <c r="M18" s="1">
        <f>L18-N18</f>
      </c>
      <c r="N18" s="1">
        <v>7420800</v>
      </c>
      <c r="O18" s="1">
        <v>28291200</v>
      </c>
      <c r="P18" s="1">
        <f>O18-Q18</f>
      </c>
      <c r="Q18" s="1">
        <v>5770300</v>
      </c>
      <c r="R18" s="1">
        <v>11271200</v>
      </c>
      <c r="S18" s="1">
        <f>R18-T18</f>
      </c>
      <c r="T18" s="1">
        <v>2254200</v>
      </c>
      <c r="U18" s="1">
        <v>10345100</v>
      </c>
      <c r="V18" s="1">
        <f>U18-W18</f>
      </c>
      <c r="W18" s="1">
        <v>2072900</v>
      </c>
      <c r="X18" s="1">
        <v>8672400</v>
      </c>
      <c r="Y18" s="1">
        <f>X18-Z18</f>
      </c>
      <c r="Z18" s="1">
        <v>1736600</v>
      </c>
      <c r="AA18" s="1">
        <v>5015300</v>
      </c>
      <c r="AB18" s="1">
        <f>AA18-AC18</f>
      </c>
      <c r="AC18" s="1">
        <v>1012200</v>
      </c>
      <c r="AD18" s="1">
        <v>4570400</v>
      </c>
      <c r="AE18" s="1">
        <f>AD18-AF18</f>
      </c>
      <c r="AF18" s="1">
        <v>917100</v>
      </c>
      <c r="AG18" s="1">
        <v>1065200</v>
      </c>
      <c r="AH18" s="1">
        <f>AG18-AI18</f>
      </c>
      <c r="AI18" s="1">
        <v>225000</v>
      </c>
      <c r="AJ18" s="1">
        <v>6550500</v>
      </c>
      <c r="AK18" s="1">
        <f>AJ18-AL18</f>
      </c>
      <c r="AL18" s="1">
        <v>1317600</v>
      </c>
      <c r="AM18" s="1">
        <v>677</v>
      </c>
      <c r="AN18" s="1">
        <v>8786800</v>
      </c>
      <c r="AO18" s="1">
        <f>AN18-AP18</f>
      </c>
      <c r="AP18" s="1">
        <v>1790700</v>
      </c>
      <c r="AQ18" s="1">
        <v>570</v>
      </c>
      <c r="AR18" s="1">
        <v>5969500</v>
      </c>
      <c r="AS18" s="1">
        <f>AR18-AT18</f>
      </c>
      <c r="AT18" s="1">
        <v>1208800</v>
      </c>
      <c r="AU18" s="1">
        <v>1429</v>
      </c>
      <c r="AV18" s="1">
        <v>12594800</v>
      </c>
      <c r="AW18" s="1">
        <f>AV18-AX18</f>
      </c>
      <c r="AX18" s="1">
        <v>2577300</v>
      </c>
      <c r="AY18" s="1">
        <v>384</v>
      </c>
      <c r="AZ18" s="1">
        <v>3587200</v>
      </c>
      <c r="BA18" s="1">
        <f>AZ18-BB18</f>
      </c>
      <c r="BB18" s="1">
        <v>735300</v>
      </c>
      <c r="BC18" s="1">
        <v>387</v>
      </c>
      <c r="BD18" s="1">
        <v>4643400</v>
      </c>
      <c r="BE18" s="1">
        <f>BD18-BF18</f>
      </c>
      <c r="BF18" s="1">
        <v>969500</v>
      </c>
      <c r="BG18" s="1">
        <v>537</v>
      </c>
      <c r="BH18" s="1">
        <v>5927000</v>
      </c>
      <c r="BI18" s="1">
        <f>BH18-BJ18</f>
      </c>
      <c r="BJ18" s="1">
        <v>1225400</v>
      </c>
      <c r="BK18" s="1">
        <v>388</v>
      </c>
      <c r="BL18" s="1">
        <v>4345600</v>
      </c>
      <c r="BM18" s="1">
        <f>BL18-BN18</f>
      </c>
      <c r="BN18" s="1">
        <v>894400</v>
      </c>
      <c r="BO18" s="1">
        <v>8</v>
      </c>
      <c r="BP18" s="1">
        <v>117900</v>
      </c>
      <c r="BQ18" s="1">
        <f>BP18-BR18</f>
      </c>
      <c r="BR18" s="1">
        <v>22100</v>
      </c>
      <c r="BS18" s="1">
        <v>1</v>
      </c>
      <c r="BT18" s="1">
        <v>26400</v>
      </c>
      <c r="BU18" s="1">
        <f>BT18-BV18</f>
      </c>
      <c r="BV18" s="1">
        <v>4500</v>
      </c>
      <c r="BW18" s="1">
        <v>1</v>
      </c>
      <c r="BX18" s="1">
        <v>29000</v>
      </c>
      <c r="BY18" s="1">
        <f>BX18-BZ18</f>
      </c>
      <c r="BZ18" s="1">
        <v>7200</v>
      </c>
      <c r="CA18" s="1">
        <v>3</v>
      </c>
      <c r="CB18" s="1">
        <v>26400</v>
      </c>
      <c r="CC18" s="1">
        <f>CB18-CD18</f>
      </c>
      <c r="CD18" s="1">
        <v>4500</v>
      </c>
      <c r="CE18" s="2">
        <v>4</v>
      </c>
      <c r="CF18" s="2">
        <v>59100</v>
      </c>
      <c r="CG18" s="2">
        <v>44300</v>
      </c>
      <c r="CH18" s="2">
        <f>CF18-CG18</f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4"/>
    </row>
    <row customHeight="true" ht="19" r="19">
      <c r="A19" s="19" t="str">
        <v>Total Enterprise Client</v>
      </c>
      <c r="B19" s="18"/>
      <c r="C19" s="11">
        <f>SUM(C4:C18)</f>
      </c>
      <c r="D19" s="11">
        <f>SUM(D4:D18)</f>
      </c>
      <c r="E19" s="11">
        <f>SUM(E4:E18)</f>
      </c>
      <c r="F19" s="11">
        <f>SUM(F4:F18)</f>
      </c>
      <c r="G19" s="11">
        <f>SUM(G4:G18)</f>
      </c>
      <c r="H19" s="11">
        <f>SUM(H4:H18)</f>
      </c>
      <c r="I19" s="11">
        <f>SUM(I4:I18)</f>
      </c>
      <c r="J19" s="11">
        <f>SUM(J4:J18)</f>
      </c>
      <c r="K19" s="11">
        <f>SUM(K4:K18)</f>
      </c>
      <c r="L19" s="11">
        <f>SUM(L4:L18)</f>
      </c>
      <c r="M19" s="11">
        <f>SUM(M4:M18)</f>
      </c>
      <c r="N19" s="11">
        <f>SUM(N4:N18)</f>
      </c>
      <c r="O19" s="11">
        <f>SUM(O4:O18)</f>
      </c>
      <c r="P19" s="11">
        <f>SUM(P4:P18)</f>
      </c>
      <c r="Q19" s="11">
        <f>SUM(Q4:Q18)</f>
      </c>
      <c r="R19" s="11">
        <f>SUM(R4:R18)</f>
      </c>
      <c r="S19" s="11">
        <f>SUM(S4:S18)</f>
      </c>
      <c r="T19" s="11">
        <f>SUM(T4:T18)</f>
      </c>
      <c r="U19" s="11">
        <f>SUM(U4:U18)</f>
      </c>
      <c r="V19" s="11">
        <f>SUM(V4:V18)</f>
      </c>
      <c r="W19" s="11">
        <f>SUM(W4:W18)</f>
      </c>
      <c r="X19" s="11">
        <f>SUM(X4:X18)</f>
      </c>
      <c r="Y19" s="11">
        <f>SUM(Y4:Y18)</f>
      </c>
      <c r="Z19" s="11">
        <f>SUM(Z4:Z18)</f>
      </c>
      <c r="AA19" s="11">
        <f>SUM(AA4:AA18)</f>
      </c>
      <c r="AB19" s="11">
        <f>SUM(AB4:AB18)</f>
      </c>
      <c r="AC19" s="11">
        <f>SUM(AC4:AC18)</f>
      </c>
      <c r="AD19" s="11">
        <f>SUM(AD4:AD18)</f>
      </c>
      <c r="AE19" s="11">
        <f>SUM(AE4:AE18)</f>
      </c>
      <c r="AF19" s="11">
        <f>SUM(AF4:AF18)</f>
      </c>
      <c r="AG19" s="11">
        <f>SUM(AG4:AG18)</f>
      </c>
      <c r="AH19" s="11">
        <f>SUM(AH4:AH18)</f>
      </c>
      <c r="AI19" s="11">
        <f>SUM(AI4:AI18)</f>
      </c>
      <c r="AJ19" s="11">
        <f>SUM(AJ4:AJ18)</f>
      </c>
      <c r="AK19" s="11">
        <f>SUM(AK4:AK18)</f>
      </c>
      <c r="AL19" s="11">
        <f>SUM(AL4:AL18)</f>
      </c>
      <c r="AM19" s="11">
        <f>SUM(AM4:AM18)</f>
      </c>
      <c r="AN19" s="11">
        <f>SUM(AN4:AN18)</f>
      </c>
      <c r="AO19" s="11">
        <f>SUM(AO4:AO18)</f>
      </c>
      <c r="AP19" s="11">
        <f>SUM(AP4:AP18)</f>
      </c>
      <c r="AQ19" s="11">
        <f>SUM(AQ4:AQ18)</f>
      </c>
      <c r="AR19" s="11">
        <f>SUM(AR4:AR18)</f>
      </c>
      <c r="AS19" s="11">
        <f>SUM(AS4:AS18)</f>
      </c>
      <c r="AT19" s="11">
        <f>SUM(AT4:AT18)</f>
      </c>
      <c r="AU19" s="11">
        <f>SUM(AU4:AU18)</f>
      </c>
      <c r="AV19" s="11">
        <f>SUM(AV4:AV18)</f>
      </c>
      <c r="AW19" s="11">
        <f>SUM(AW4:AW18)</f>
      </c>
      <c r="AX19" s="11">
        <f>SUM(AX4:AX18)</f>
      </c>
      <c r="AY19" s="11">
        <f>SUM(AY4:AY18)</f>
      </c>
      <c r="AZ19" s="11">
        <f>SUM(AZ4:AZ18)</f>
      </c>
      <c r="BA19" s="11">
        <f>SUM(BA4:BA18)</f>
      </c>
      <c r="BB19" s="11">
        <f>SUM(BB4:BB18)</f>
      </c>
      <c r="BC19" s="11">
        <f>SUM(BC4:BC18)</f>
      </c>
      <c r="BD19" s="11">
        <f>SUM(BD4:BD18)</f>
      </c>
      <c r="BE19" s="11">
        <f>SUM(BE4:BE18)</f>
      </c>
      <c r="BF19" s="11">
        <f>SUM(BF4:BF18)</f>
      </c>
      <c r="BG19" s="11">
        <f>SUM(BG4:BG18)</f>
      </c>
      <c r="BH19" s="11">
        <f>SUM(BH4:BH18)</f>
      </c>
      <c r="BI19" s="11">
        <f>SUM(BI4:BI18)</f>
      </c>
      <c r="BJ19" s="11">
        <f>SUM(BJ4:BJ18)</f>
      </c>
      <c r="BK19" s="11">
        <f>SUM(BK4:BK18)</f>
      </c>
      <c r="BL19" s="11">
        <f>SUM(BL4:BL18)</f>
      </c>
      <c r="BM19" s="11">
        <f>SUM(BM4:BM18)</f>
      </c>
      <c r="BN19" s="11">
        <f>SUM(BN4:BN18)</f>
      </c>
      <c r="BO19" s="11">
        <f>SUM(BO4:BO18)</f>
      </c>
      <c r="BP19" s="11">
        <f>SUM(BP4:BP18)</f>
      </c>
      <c r="BQ19" s="11">
        <f>SUM(BQ4:BQ18)</f>
      </c>
      <c r="BR19" s="11">
        <f>SUM(BR4:BR18)</f>
      </c>
      <c r="BS19" s="11">
        <f>SUM(BS4:BS18)</f>
      </c>
      <c r="BT19" s="11">
        <f>SUM(BT4:BT18)</f>
      </c>
      <c r="BU19" s="11">
        <f>SUM(BU4:BU18)</f>
      </c>
      <c r="BV19" s="11">
        <f>SUM(BV4:BV18)</f>
      </c>
      <c r="BW19" s="11">
        <f>SUM(BW4:BW18)</f>
      </c>
      <c r="BX19" s="11">
        <f>SUM(BX4:BX18)</f>
      </c>
      <c r="BY19" s="11">
        <f>SUM(BY4:BY18)</f>
      </c>
      <c r="BZ19" s="11">
        <f>SUM(BZ4:BZ18)</f>
      </c>
      <c r="CA19" s="11">
        <f>SUM(CA4:CA18)</f>
      </c>
      <c r="CB19" s="11">
        <f>SUM(CB4:CB18)</f>
      </c>
      <c r="CC19" s="11">
        <f>SUM(CC4:CC18)</f>
      </c>
      <c r="CD19" s="11">
        <f>SUM(CD4:CD18)</f>
      </c>
      <c r="CE19" s="11">
        <f>SUM(CE4:CE18)</f>
      </c>
      <c r="CF19" s="11">
        <f>SUM(CF4:CF18)</f>
      </c>
      <c r="CG19" s="11">
        <f>SUM(CG4:CG18)</f>
      </c>
      <c r="CH19" s="11">
        <f>SUM(CH4:CH18)</f>
      </c>
      <c r="CI19" s="11">
        <f>SUM(CI4:CI18)</f>
      </c>
      <c r="CJ19" s="11">
        <f>SUM(CJ4:CJ18)</f>
      </c>
      <c r="CK19" s="11">
        <f>SUM(CK4:CK18)</f>
      </c>
      <c r="CL19" s="11">
        <f>SUM(CL4:CL18)</f>
      </c>
      <c r="CM19" s="11">
        <f>SUM(CM4:CM18)</f>
      </c>
      <c r="CN19" s="11">
        <f>SUM(CN4:CN18)</f>
      </c>
      <c r="CO19" s="11">
        <f>SUM(CO4:CO18)</f>
      </c>
      <c r="CP19" s="11">
        <f>SUM(CP4:CP18)</f>
      </c>
      <c r="CQ19" s="16">
        <f>(CM19-CE19)/CE19</f>
      </c>
      <c r="CR19" s="14" t="str">
        <v>Overall decrease happen due to holiday seasons (1-4 Jan 2026)</v>
      </c>
    </row>
    <row customHeight="true" ht="19"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2"/>
      <c r="CN20" s="2"/>
      <c r="CO20" s="2"/>
      <c r="CP20" s="8"/>
      <c r="CQ20" s="9"/>
    </row>
    <row customHeight="true" ht="19" r="21">
      <c r="A21" s="15" t="str">
        <v>Medium, Small &amp; Individual Client</v>
      </c>
      <c r="B21" s="13"/>
      <c r="C21" s="11">
        <f>C23-C19</f>
      </c>
      <c r="D21" s="11">
        <f>D23-D19</f>
      </c>
      <c r="E21" s="11">
        <f>E23-E19</f>
      </c>
      <c r="F21" s="11">
        <f>F23-F19</f>
      </c>
      <c r="G21" s="11">
        <f>G23-G19</f>
      </c>
      <c r="H21" s="11">
        <f>H23-H19</f>
      </c>
      <c r="I21" s="11">
        <f>I23-I19</f>
      </c>
      <c r="J21" s="11">
        <f>J23-J19</f>
      </c>
      <c r="K21" s="11">
        <f>K23-K19</f>
      </c>
      <c r="L21" s="11">
        <f>L23-L19</f>
      </c>
      <c r="M21" s="11">
        <f>M23-M19</f>
      </c>
      <c r="N21" s="11">
        <f>N23-N19</f>
      </c>
      <c r="O21" s="11">
        <f>O23-O19</f>
      </c>
      <c r="P21" s="11">
        <f>P23-P19</f>
      </c>
      <c r="Q21" s="11">
        <f>Q23-Q19</f>
      </c>
      <c r="R21" s="11">
        <f>R23-R19</f>
      </c>
      <c r="S21" s="11">
        <f>S23-S19</f>
      </c>
      <c r="T21" s="11">
        <f>T23-T19</f>
      </c>
      <c r="U21" s="11">
        <f>U23-U19</f>
      </c>
      <c r="V21" s="11">
        <f>V23-V19</f>
      </c>
      <c r="W21" s="11">
        <f>W23-W19</f>
      </c>
      <c r="X21" s="11">
        <f>X23-X19</f>
      </c>
      <c r="Y21" s="11">
        <f>Y23-Y19</f>
      </c>
      <c r="Z21" s="11">
        <f>Z23-Z19</f>
      </c>
      <c r="AA21" s="11">
        <f>AA23-AA19</f>
      </c>
      <c r="AB21" s="11">
        <f>AB23-AB19</f>
      </c>
      <c r="AC21" s="11">
        <f>AC23-AC19</f>
      </c>
      <c r="AD21" s="11">
        <f>AD23-AD19</f>
      </c>
      <c r="AE21" s="11">
        <f>AE23-AE19</f>
      </c>
      <c r="AF21" s="11">
        <f>AF23-AF19</f>
      </c>
      <c r="AG21" s="11">
        <f>AG23-AG19</f>
      </c>
      <c r="AH21" s="11">
        <f>AH23-AH19</f>
      </c>
      <c r="AI21" s="11">
        <f>AI23-AI19</f>
      </c>
      <c r="AJ21" s="11">
        <f>AJ23-AJ19</f>
      </c>
      <c r="AK21" s="11">
        <f>AK23-AK19</f>
      </c>
      <c r="AL21" s="11">
        <f>AL23-AL19</f>
      </c>
      <c r="AM21" s="12">
        <v>62217</v>
      </c>
      <c r="AN21" s="12">
        <v>993661187</v>
      </c>
      <c r="AO21" s="12">
        <f>AN21-AP21</f>
      </c>
      <c r="AP21" s="12">
        <v>205350647</v>
      </c>
      <c r="AQ21" s="12">
        <v>50539</v>
      </c>
      <c r="AR21" s="12">
        <v>783018538</v>
      </c>
      <c r="AS21" s="12">
        <f>AR21-AT21</f>
      </c>
      <c r="AT21" s="12">
        <v>158500601</v>
      </c>
      <c r="AU21" s="12">
        <v>70808</v>
      </c>
      <c r="AV21" s="12">
        <v>1245823828</v>
      </c>
      <c r="AW21" s="12">
        <f>AV21-AX21</f>
      </c>
      <c r="AX21" s="12">
        <v>254898170</v>
      </c>
      <c r="AY21" s="12">
        <v>40573</v>
      </c>
      <c r="AZ21" s="12">
        <v>617168994</v>
      </c>
      <c r="BA21" s="12">
        <f>AZ21-BB21</f>
      </c>
      <c r="BB21" s="12">
        <v>118599188</v>
      </c>
      <c r="BC21" s="12">
        <v>47055</v>
      </c>
      <c r="BD21" s="12">
        <v>728997153</v>
      </c>
      <c r="BE21" s="12">
        <f>BD21-BF21</f>
      </c>
      <c r="BF21" s="12">
        <v>143011358</v>
      </c>
      <c r="BG21" s="12">
        <v>41575</v>
      </c>
      <c r="BH21" s="12">
        <v>633640803</v>
      </c>
      <c r="BI21" s="12">
        <f>BH21-BJ21</f>
      </c>
      <c r="BJ21" s="12">
        <v>115834300</v>
      </c>
      <c r="BK21" s="12">
        <v>41134</v>
      </c>
      <c r="BL21" s="12">
        <v>618760064</v>
      </c>
      <c r="BM21" s="12">
        <f>BL21-BN21</f>
      </c>
      <c r="BN21" s="12">
        <v>121342357</v>
      </c>
      <c r="BO21" s="12">
        <v>39636</v>
      </c>
      <c r="BP21" s="12">
        <v>588752832</v>
      </c>
      <c r="BQ21" s="12">
        <f>BP21-BR21</f>
      </c>
      <c r="BR21" s="12">
        <v>111515895</v>
      </c>
      <c r="BS21" s="12">
        <v>42401</v>
      </c>
      <c r="BT21" s="12">
        <v>568549298</v>
      </c>
      <c r="BU21" s="12">
        <f>BT21-BV21</f>
      </c>
      <c r="BV21" s="12">
        <v>107057467</v>
      </c>
      <c r="BW21" s="12">
        <v>37773</v>
      </c>
      <c r="BX21" s="12">
        <v>558138371</v>
      </c>
      <c r="BY21" s="12">
        <f>BX21-BZ21</f>
      </c>
      <c r="BZ21" s="12">
        <v>68700394</v>
      </c>
      <c r="CA21" s="12">
        <v>33903</v>
      </c>
      <c r="CB21" s="12">
        <v>499639300</v>
      </c>
      <c r="CC21" s="12">
        <f>CB21-CD21</f>
      </c>
      <c r="CD21" s="12">
        <v>88143413</v>
      </c>
      <c r="CE21" s="11">
        <v>48812.001000000004</v>
      </c>
      <c r="CF21" s="11">
        <v>914462200</v>
      </c>
      <c r="CG21" s="11">
        <v>725488032</v>
      </c>
      <c r="CH21" s="11">
        <v>188974168</v>
      </c>
      <c r="CI21" s="17">
        <v>10291</v>
      </c>
      <c r="CJ21" s="17">
        <v>164361500</v>
      </c>
      <c r="CK21" s="17">
        <v>127984712</v>
      </c>
      <c r="CL21" s="17">
        <v>36376788</v>
      </c>
      <c r="CM21" s="17">
        <f>CI21/11*31</f>
      </c>
      <c r="CN21" s="17">
        <f>CJ21/11*31</f>
      </c>
      <c r="CO21" s="17">
        <f>CK21/11*31</f>
      </c>
      <c r="CP21" s="17">
        <f>CL21/11*31</f>
      </c>
      <c r="CQ21" s="16">
        <f>(CM21-CE21)/CE21</f>
      </c>
      <c r="CR21" s="14" t="str">
        <v>All seasonal client stop, and due to holiday the delivery was drop.</v>
      </c>
    </row>
    <row customHeight="true" ht="19"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9"/>
      <c r="CJ22" s="9"/>
      <c r="CK22" s="9"/>
      <c r="CL22" s="9"/>
      <c r="CM22" s="2"/>
      <c r="CN22" s="2"/>
      <c r="CO22" s="2"/>
      <c r="CP22" s="8"/>
      <c r="CQ22" s="8"/>
    </row>
    <row customHeight="true" ht="19" r="23">
      <c r="A23" s="15" t="str">
        <v>Total All Client</v>
      </c>
      <c r="B23" s="13"/>
      <c r="C23" s="12">
        <v>3807990803</v>
      </c>
      <c r="D23" s="12">
        <f>C23-E23</f>
      </c>
      <c r="E23" s="12">
        <v>702459310</v>
      </c>
      <c r="F23" s="12">
        <v>2966616029</v>
      </c>
      <c r="G23" s="12">
        <f>F23-H23</f>
      </c>
      <c r="H23" s="12">
        <v>608325072</v>
      </c>
      <c r="I23" s="12">
        <v>3173934990</v>
      </c>
      <c r="J23" s="12">
        <f>I23-K23</f>
      </c>
      <c r="K23" s="12">
        <v>666409474</v>
      </c>
      <c r="L23" s="12">
        <v>2668582694</v>
      </c>
      <c r="M23" s="12">
        <f>L23-N23</f>
      </c>
      <c r="N23" s="12">
        <v>564829614</v>
      </c>
      <c r="O23" s="12">
        <v>2509612001</v>
      </c>
      <c r="P23" s="12">
        <f>O23-Q23</f>
      </c>
      <c r="Q23" s="12">
        <v>526990437</v>
      </c>
      <c r="R23" s="12">
        <v>2327159148</v>
      </c>
      <c r="S23" s="12">
        <f>R23-T23</f>
      </c>
      <c r="T23" s="12">
        <v>495756510</v>
      </c>
      <c r="U23" s="12">
        <v>2434013785</v>
      </c>
      <c r="V23" s="12">
        <f>U23-W23</f>
      </c>
      <c r="W23" s="12">
        <v>517401262</v>
      </c>
      <c r="X23" s="12">
        <v>2450441301</v>
      </c>
      <c r="Y23" s="12">
        <f>X23-Z23</f>
      </c>
      <c r="Z23" s="12">
        <v>504987061</v>
      </c>
      <c r="AA23" s="12">
        <v>2099269888</v>
      </c>
      <c r="AB23" s="12">
        <f>AA23-AC23</f>
      </c>
      <c r="AC23" s="12">
        <v>410650654</v>
      </c>
      <c r="AD23" s="12">
        <v>2150814901</v>
      </c>
      <c r="AE23" s="12">
        <f>AD23-AF23</f>
      </c>
      <c r="AF23" s="12">
        <v>422472642</v>
      </c>
      <c r="AG23" s="12">
        <v>1936730842</v>
      </c>
      <c r="AH23" s="12">
        <f>AG23-AI23</f>
      </c>
      <c r="AI23" s="12">
        <v>383864383</v>
      </c>
      <c r="AJ23" s="12">
        <v>2178422501</v>
      </c>
      <c r="AK23" s="12">
        <f>AJ23-AL23</f>
      </c>
      <c r="AL23" s="12">
        <v>449402949</v>
      </c>
      <c r="AM23" s="11">
        <f>AM21+AM19</f>
      </c>
      <c r="AN23" s="11">
        <f>AN21+AN19</f>
      </c>
      <c r="AO23" s="11">
        <f>AO21+AO19</f>
      </c>
      <c r="AP23" s="11">
        <f>AP21+AP19</f>
      </c>
      <c r="AQ23" s="11">
        <f>AQ21+AQ19</f>
      </c>
      <c r="AR23" s="11">
        <f>AR21+AR19</f>
      </c>
      <c r="AS23" s="11">
        <f>AS21+AS19</f>
      </c>
      <c r="AT23" s="11">
        <f>AT21+AT19</f>
      </c>
      <c r="AU23" s="11">
        <f>AU21+AU19</f>
      </c>
      <c r="AV23" s="11">
        <f>AV21+AV19</f>
      </c>
      <c r="AW23" s="11">
        <f>AW21+AW19</f>
      </c>
      <c r="AX23" s="11">
        <f>AX21+AX19</f>
      </c>
      <c r="AY23" s="11">
        <f>AY21+AY19</f>
      </c>
      <c r="AZ23" s="11">
        <f>AZ21+AZ19</f>
      </c>
      <c r="BA23" s="11">
        <f>BA21+BA19</f>
      </c>
      <c r="BB23" s="11">
        <f>BB21+BB19</f>
      </c>
      <c r="BC23" s="11">
        <f>BC21+BC19</f>
      </c>
      <c r="BD23" s="11">
        <f>BD21+BD19</f>
      </c>
      <c r="BE23" s="11">
        <f>BE21+BE19</f>
      </c>
      <c r="BF23" s="11">
        <f>BF21+BF19</f>
      </c>
      <c r="BG23" s="11">
        <f>BG21+BG19</f>
      </c>
      <c r="BH23" s="11">
        <f>BH21+BH19</f>
      </c>
      <c r="BI23" s="11">
        <f>BI21+BI19</f>
      </c>
      <c r="BJ23" s="11">
        <f>BJ21+BJ19</f>
      </c>
      <c r="BK23" s="11">
        <f>BK21+BK19</f>
      </c>
      <c r="BL23" s="11">
        <f>BL21+BL19</f>
      </c>
      <c r="BM23" s="11">
        <f>BM21+BM19</f>
      </c>
      <c r="BN23" s="11">
        <f>BN21+BN19</f>
      </c>
      <c r="BO23" s="11">
        <f>BO21+BO19</f>
      </c>
      <c r="BP23" s="11">
        <f>BP21+BP19</f>
      </c>
      <c r="BQ23" s="11">
        <f>BQ21+BQ19</f>
      </c>
      <c r="BR23" s="11">
        <f>BR21+BR19</f>
      </c>
      <c r="BS23" s="11">
        <f>BS21+BS19</f>
      </c>
      <c r="BT23" s="11">
        <f>BT21+BT19</f>
      </c>
      <c r="BU23" s="11">
        <f>BU21+BU19</f>
      </c>
      <c r="BV23" s="11">
        <f>BV21+BV19</f>
      </c>
      <c r="BW23" s="11">
        <f>BW21+BW19</f>
      </c>
      <c r="BX23" s="11">
        <f>BX21+BX19</f>
      </c>
      <c r="BY23" s="11">
        <f>BY21+BY19</f>
      </c>
      <c r="BZ23" s="11">
        <f>BZ21+BZ19</f>
      </c>
      <c r="CA23" s="11">
        <f>CA21+CA19</f>
      </c>
      <c r="CB23" s="11">
        <f>CB21+CB19</f>
      </c>
      <c r="CC23" s="11">
        <f>CC21+CC19</f>
      </c>
      <c r="CD23" s="11">
        <f>CD21+CD19</f>
      </c>
      <c r="CE23" s="11">
        <f>CE21+CE19</f>
      </c>
      <c r="CF23" s="11">
        <f>CF19+CF21</f>
      </c>
      <c r="CG23" s="11">
        <f>CG19+CG21</f>
      </c>
      <c r="CH23" s="11">
        <f>CH19+CH21</f>
      </c>
      <c r="CI23" s="17">
        <f>CI21+CI19</f>
      </c>
      <c r="CJ23" s="17">
        <f>CJ21+CJ19</f>
      </c>
      <c r="CK23" s="17">
        <f>CK21+CK19</f>
      </c>
      <c r="CL23" s="17">
        <f>CL21+CL19</f>
      </c>
      <c r="CM23" s="17">
        <f>CM21+CM19</f>
      </c>
      <c r="CN23" s="17">
        <f>CN21+CN19</f>
      </c>
      <c r="CO23" s="17">
        <f>CO21+CO19</f>
      </c>
      <c r="CP23" s="17">
        <f>CP21+CP19</f>
      </c>
      <c r="CQ23" s="16">
        <f>(CM23-CE23)/CE23</f>
      </c>
    </row>
    <row customHeight="true" ht="19" r="24">
      <c r="A24" s="9" t="str">
        <v>% Gross Revenue</v>
      </c>
      <c r="B24" s="8"/>
      <c r="C24" s="3"/>
      <c r="D24" s="3"/>
      <c r="E24" s="7">
        <f>E23/C23</f>
      </c>
      <c r="F24" s="3"/>
      <c r="G24" s="3"/>
      <c r="H24" s="7">
        <f>H23/F23</f>
      </c>
      <c r="I24" s="3"/>
      <c r="J24" s="3"/>
      <c r="K24" s="7">
        <f>K23/I23</f>
      </c>
      <c r="L24" s="3"/>
      <c r="M24" s="3"/>
      <c r="N24" s="7">
        <f>N23/L23</f>
      </c>
      <c r="O24" s="3"/>
      <c r="P24" s="3"/>
      <c r="Q24" s="7">
        <f>Q23/O23</f>
      </c>
      <c r="R24" s="3"/>
      <c r="S24" s="3"/>
      <c r="T24" s="7">
        <f>T23/R23</f>
      </c>
      <c r="U24" s="3"/>
      <c r="V24" s="3"/>
      <c r="W24" s="7">
        <f>W23/U23</f>
      </c>
      <c r="X24" s="3"/>
      <c r="Y24" s="3"/>
      <c r="Z24" s="7">
        <f>Z23/X23</f>
      </c>
      <c r="AA24" s="3"/>
      <c r="AB24" s="3"/>
      <c r="AC24" s="7">
        <f>AC23/AA23</f>
      </c>
      <c r="AD24" s="3"/>
      <c r="AE24" s="3"/>
      <c r="AF24" s="7">
        <f>AF23/AD23</f>
      </c>
      <c r="AG24" s="3"/>
      <c r="AH24" s="3"/>
      <c r="AI24" s="7">
        <f>AI23/AG23</f>
      </c>
      <c r="AJ24" s="3"/>
      <c r="AK24" s="3"/>
      <c r="AL24" s="7">
        <f>AL23/AJ23</f>
      </c>
      <c r="AM24" s="3"/>
      <c r="AN24" s="3"/>
      <c r="AO24" s="3"/>
      <c r="AP24" s="7">
        <f>AP23/AN23</f>
      </c>
      <c r="AQ24" s="3"/>
      <c r="AR24" s="3"/>
      <c r="AS24" s="3"/>
      <c r="AT24" s="7">
        <f>AT23/AR23</f>
      </c>
      <c r="AU24" s="3"/>
      <c r="AV24" s="3"/>
      <c r="AW24" s="3"/>
      <c r="AX24" s="7">
        <f>AX23/AV23</f>
      </c>
      <c r="AY24" s="3"/>
      <c r="AZ24" s="3"/>
      <c r="BA24" s="3"/>
      <c r="BB24" s="7">
        <f>BB23/AZ23</f>
      </c>
      <c r="BC24" s="3"/>
      <c r="BD24" s="3"/>
      <c r="BE24" s="3"/>
      <c r="BF24" s="7">
        <f>BF23/BD23</f>
      </c>
      <c r="BG24" s="3"/>
      <c r="BH24" s="3"/>
      <c r="BI24" s="3"/>
      <c r="BJ24" s="7">
        <f>BJ23/BH23</f>
      </c>
      <c r="BK24" s="3"/>
      <c r="BL24" s="3"/>
      <c r="BM24" s="3"/>
      <c r="BN24" s="7">
        <f>BN23/BL23</f>
      </c>
      <c r="BO24" s="3"/>
      <c r="BP24" s="3"/>
      <c r="BQ24" s="3"/>
      <c r="BR24" s="7">
        <f>BR23/BP23</f>
      </c>
      <c r="BS24" s="3"/>
      <c r="BT24" s="3"/>
      <c r="BU24" s="3"/>
      <c r="BV24" s="7">
        <f>BV23/BT23</f>
      </c>
      <c r="BW24" s="3"/>
      <c r="BX24" s="3"/>
      <c r="BY24" s="3"/>
      <c r="BZ24" s="7">
        <f>BZ23/BX23</f>
      </c>
      <c r="CA24" s="3"/>
      <c r="CB24" s="3"/>
      <c r="CC24" s="3"/>
      <c r="CD24" s="7">
        <f>CD23/CB23</f>
      </c>
      <c r="CE24" s="3"/>
      <c r="CF24" s="3"/>
      <c r="CG24" s="3"/>
      <c r="CH24" s="7">
        <f>CH23/CF23</f>
      </c>
      <c r="CI24" s="8"/>
      <c r="CJ24" s="8"/>
      <c r="CK24" s="8"/>
      <c r="CL24" s="7">
        <f>CL23/CJ23</f>
      </c>
      <c r="CM24" s="2"/>
      <c r="CN24" s="2"/>
      <c r="CO24" s="2"/>
      <c r="CP24" s="7">
        <f>CP23/CN23</f>
      </c>
      <c r="CQ24" s="8"/>
    </row>
    <row customHeight="true" ht="19" r="25">
      <c r="A25" s="8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20"/>
      <c r="CB25" s="3"/>
      <c r="CC25" s="3"/>
      <c r="CD25" s="3"/>
      <c r="CE25" s="20"/>
      <c r="CF25" s="20"/>
      <c r="CG25" s="20"/>
      <c r="CH25" s="20"/>
      <c r="CI25" s="8"/>
      <c r="CJ25" s="8"/>
      <c r="CK25" s="8"/>
      <c r="CL25" s="8"/>
      <c r="CM25" s="2"/>
      <c r="CN25" s="2"/>
      <c r="CO25" s="2"/>
      <c r="CP25" s="8"/>
      <c r="CQ25" s="8"/>
    </row>
    <row customHeight="true" ht="19" r="26">
      <c r="A26" s="8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20"/>
      <c r="CB26" s="3"/>
      <c r="CC26" s="3"/>
      <c r="CD26" s="3"/>
      <c r="CE26" s="20"/>
      <c r="CF26" s="20"/>
      <c r="CG26" s="20"/>
      <c r="CH26" s="20"/>
      <c r="CI26" s="8"/>
      <c r="CJ26" s="8"/>
      <c r="CK26" s="8"/>
      <c r="CL26" s="8"/>
      <c r="CM26" s="2"/>
      <c r="CN26" s="2"/>
      <c r="CO26" s="2"/>
      <c r="CP26" s="8"/>
      <c r="CQ26" s="8"/>
    </row>
    <row customHeight="true" ht="19" r="27">
      <c r="A27" s="8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8"/>
      <c r="CB27" s="3"/>
      <c r="CC27" s="3"/>
      <c r="CD27" s="3"/>
      <c r="CE27" s="20"/>
      <c r="CF27" s="20"/>
      <c r="CG27" s="20"/>
      <c r="CH27" s="20"/>
      <c r="CI27" s="8"/>
      <c r="CJ27" s="8"/>
      <c r="CK27" s="8"/>
      <c r="CL27" s="8"/>
      <c r="CM27" s="2"/>
      <c r="CN27" s="2"/>
      <c r="CO27" s="2"/>
      <c r="CP27" s="8"/>
      <c r="CQ27" s="8"/>
    </row>
    <row customHeight="true" ht="19" r="28">
      <c r="A28" s="8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8"/>
      <c r="CJ28" s="8"/>
      <c r="CK28" s="8"/>
      <c r="CL28" s="8"/>
      <c r="CM28" s="2"/>
      <c r="CN28" s="2"/>
      <c r="CO28" s="2"/>
      <c r="CP28" s="8"/>
      <c r="CQ28" s="8"/>
    </row>
    <row customHeight="true" ht="19" r="29">
      <c r="A29" s="9" t="str">
        <v>% Enterprise Client</v>
      </c>
      <c r="B29" s="8"/>
      <c r="C29" s="3"/>
      <c r="D29" s="3"/>
      <c r="E29" s="7">
        <f>E19/E23</f>
      </c>
      <c r="F29" s="3"/>
      <c r="G29" s="3"/>
      <c r="H29" s="7">
        <f>H19/H23</f>
      </c>
      <c r="I29" s="3"/>
      <c r="J29" s="3"/>
      <c r="K29" s="7">
        <f>K19/K23</f>
      </c>
      <c r="L29" s="3"/>
      <c r="M29" s="3"/>
      <c r="N29" s="7">
        <f>N19/N23</f>
      </c>
      <c r="O29" s="3"/>
      <c r="P29" s="3"/>
      <c r="Q29" s="7">
        <f>Q19/Q23</f>
      </c>
      <c r="R29" s="3"/>
      <c r="S29" s="3"/>
      <c r="T29" s="7">
        <f>T19/T23</f>
      </c>
      <c r="U29" s="3"/>
      <c r="V29" s="3"/>
      <c r="W29" s="7">
        <f>W19/W23</f>
      </c>
      <c r="X29" s="3"/>
      <c r="Y29" s="3"/>
      <c r="Z29" s="7">
        <f>Z19/Z23</f>
      </c>
      <c r="AA29" s="3"/>
      <c r="AB29" s="3"/>
      <c r="AC29" s="7">
        <f>AC19/AC23</f>
      </c>
      <c r="AD29" s="3"/>
      <c r="AE29" s="3"/>
      <c r="AF29" s="7">
        <f>AF19/AF23</f>
      </c>
      <c r="AG29" s="3"/>
      <c r="AH29" s="3"/>
      <c r="AI29" s="7">
        <f>AI19/AI23</f>
      </c>
      <c r="AJ29" s="3"/>
      <c r="AK29" s="3"/>
      <c r="AL29" s="7">
        <f>AL19/AL23</f>
      </c>
      <c r="AM29" s="3"/>
      <c r="AN29" s="3"/>
      <c r="AO29" s="3"/>
      <c r="AP29" s="7">
        <f>AP19/AP23</f>
      </c>
      <c r="AQ29" s="3"/>
      <c r="AR29" s="3"/>
      <c r="AS29" s="3"/>
      <c r="AT29" s="7">
        <f>AT19/AT23</f>
      </c>
      <c r="AU29" s="3"/>
      <c r="AV29" s="3"/>
      <c r="AW29" s="3"/>
      <c r="AX29" s="7">
        <f>AX19/AX23</f>
      </c>
      <c r="AY29" s="3"/>
      <c r="AZ29" s="3"/>
      <c r="BA29" s="3"/>
      <c r="BB29" s="7">
        <f>BB19/BB23</f>
      </c>
      <c r="BC29" s="3"/>
      <c r="BD29" s="3"/>
      <c r="BE29" s="3"/>
      <c r="BF29" s="7">
        <f>BF19/BF23</f>
      </c>
      <c r="BG29" s="3"/>
      <c r="BH29" s="3"/>
      <c r="BI29" s="3"/>
      <c r="BJ29" s="7">
        <f>BJ19/BJ23</f>
      </c>
      <c r="BK29" s="3"/>
      <c r="BL29" s="3"/>
      <c r="BM29" s="3"/>
      <c r="BN29" s="7">
        <f>BN19/BN23</f>
      </c>
      <c r="BO29" s="3"/>
      <c r="BP29" s="3"/>
      <c r="BQ29" s="3"/>
      <c r="BR29" s="7">
        <f>BR19/BR23</f>
      </c>
      <c r="BS29" s="3"/>
      <c r="BT29" s="3"/>
      <c r="BU29" s="3"/>
      <c r="BV29" s="7">
        <f>BV19/BV23</f>
      </c>
      <c r="BW29" s="3"/>
      <c r="BX29" s="3"/>
      <c r="BY29" s="3"/>
      <c r="BZ29" s="7">
        <f>BZ19/BZ23</f>
      </c>
      <c r="CA29" s="3"/>
      <c r="CB29" s="3"/>
      <c r="CC29" s="3"/>
      <c r="CD29" s="7">
        <f>CD19/CD23</f>
      </c>
      <c r="CE29" s="3"/>
      <c r="CF29" s="3"/>
      <c r="CG29" s="3"/>
      <c r="CH29" s="7">
        <f>CH19/CH23</f>
      </c>
      <c r="CI29" s="8"/>
      <c r="CJ29" s="8"/>
      <c r="CK29" s="8"/>
      <c r="CL29" s="7">
        <f>CL19/CL23</f>
      </c>
      <c r="CM29" s="2"/>
      <c r="CN29" s="2"/>
      <c r="CO29" s="2"/>
      <c r="CP29" s="7">
        <f>CP19/CP23</f>
      </c>
      <c r="CQ29" s="8"/>
    </row>
    <row customHeight="true" ht="19" r="30">
      <c r="A30" s="9" t="str">
        <v>% Med, Small, Individual Client</v>
      </c>
      <c r="B30" s="8"/>
      <c r="C30" s="3"/>
      <c r="D30" s="3"/>
      <c r="E30" s="7">
        <f>E21/E23</f>
      </c>
      <c r="F30" s="3"/>
      <c r="G30" s="3"/>
      <c r="H30" s="7">
        <f>H21/H23</f>
      </c>
      <c r="I30" s="3"/>
      <c r="J30" s="3"/>
      <c r="K30" s="7">
        <f>K21/K23</f>
      </c>
      <c r="L30" s="3"/>
      <c r="M30" s="3"/>
      <c r="N30" s="7">
        <f>N21/N23</f>
      </c>
      <c r="O30" s="3"/>
      <c r="P30" s="3"/>
      <c r="Q30" s="7">
        <f>Q21/Q23</f>
      </c>
      <c r="R30" s="3"/>
      <c r="S30" s="3"/>
      <c r="T30" s="7">
        <f>T21/T23</f>
      </c>
      <c r="U30" s="3"/>
      <c r="V30" s="3"/>
      <c r="W30" s="7">
        <f>W21/W23</f>
      </c>
      <c r="X30" s="3"/>
      <c r="Y30" s="3"/>
      <c r="Z30" s="7">
        <f>Z21/Z23</f>
      </c>
      <c r="AA30" s="3"/>
      <c r="AB30" s="3"/>
      <c r="AC30" s="7">
        <f>AC21/AC23</f>
      </c>
      <c r="AD30" s="3"/>
      <c r="AE30" s="3"/>
      <c r="AF30" s="7">
        <f>AF21/AF23</f>
      </c>
      <c r="AG30" s="3"/>
      <c r="AH30" s="3"/>
      <c r="AI30" s="7">
        <f>AI21/AI23</f>
      </c>
      <c r="AJ30" s="3"/>
      <c r="AK30" s="3"/>
      <c r="AL30" s="7">
        <f>AL21/AL23</f>
      </c>
      <c r="AM30" s="3"/>
      <c r="AN30" s="3"/>
      <c r="AO30" s="3"/>
      <c r="AP30" s="7">
        <f>AP21/AP23</f>
      </c>
      <c r="AQ30" s="3"/>
      <c r="AR30" s="3"/>
      <c r="AS30" s="3"/>
      <c r="AT30" s="7">
        <f>AT21/AT23</f>
      </c>
      <c r="AU30" s="3"/>
      <c r="AV30" s="3"/>
      <c r="AW30" s="3"/>
      <c r="AX30" s="7">
        <f>AX21/AX23</f>
      </c>
      <c r="AY30" s="3"/>
      <c r="AZ30" s="3"/>
      <c r="BA30" s="3"/>
      <c r="BB30" s="7">
        <f>BB21/BB23</f>
      </c>
      <c r="BC30" s="3"/>
      <c r="BD30" s="3"/>
      <c r="BE30" s="3"/>
      <c r="BF30" s="7">
        <f>BF21/BF23</f>
      </c>
      <c r="BG30" s="3"/>
      <c r="BH30" s="3"/>
      <c r="BI30" s="3"/>
      <c r="BJ30" s="7">
        <f>BJ21/BJ23</f>
      </c>
      <c r="BK30" s="3"/>
      <c r="BL30" s="3"/>
      <c r="BM30" s="3"/>
      <c r="BN30" s="7">
        <f>BN21/BN23</f>
      </c>
      <c r="BO30" s="3"/>
      <c r="BP30" s="3"/>
      <c r="BQ30" s="3"/>
      <c r="BR30" s="7">
        <f>BR21/BR23</f>
      </c>
      <c r="BS30" s="3"/>
      <c r="BT30" s="3"/>
      <c r="BU30" s="3"/>
      <c r="BV30" s="7">
        <f>BV21/BV23</f>
      </c>
      <c r="BW30" s="3"/>
      <c r="BX30" s="3"/>
      <c r="BY30" s="3"/>
      <c r="BZ30" s="7">
        <f>BZ21/BZ23</f>
      </c>
      <c r="CA30" s="3"/>
      <c r="CB30" s="3"/>
      <c r="CC30" s="3"/>
      <c r="CD30" s="7">
        <f>CD21/CD23</f>
      </c>
      <c r="CE30" s="3"/>
      <c r="CF30" s="3"/>
      <c r="CG30" s="3"/>
      <c r="CH30" s="7">
        <f>CH21/CH23</f>
      </c>
      <c r="CI30" s="8"/>
      <c r="CJ30" s="8"/>
      <c r="CK30" s="8"/>
      <c r="CL30" s="7">
        <f>CL21/CL23</f>
      </c>
      <c r="CM30" s="2"/>
      <c r="CN30" s="2"/>
      <c r="CO30" s="2"/>
      <c r="CP30" s="7">
        <f>CP21/CP23</f>
      </c>
      <c r="CQ30" s="8"/>
    </row>
    <row customHeight="true" ht="19"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2"/>
      <c r="CN31" s="2"/>
      <c r="CO31" s="2"/>
      <c r="CP31" s="8"/>
      <c r="CQ31" s="8"/>
    </row>
    <row customHeight="true" ht="19"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2"/>
      <c r="CN32" s="2"/>
      <c r="CO32" s="2"/>
      <c r="CP32" s="8"/>
      <c r="CQ32" s="8"/>
    </row>
    <row customHeight="true" ht="19" r="33">
      <c r="A33" s="9" t="str">
        <v>Highlighted Seasonal Client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2"/>
      <c r="CN33" s="2"/>
      <c r="CO33" s="2"/>
      <c r="CP33" s="8"/>
      <c r="CQ33" s="8"/>
    </row>
    <row customHeight="true" ht="19" r="34">
      <c r="A34" s="8">
        <v>916899</v>
      </c>
      <c r="B34" s="8" t="str">
        <v>Pandor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>
        <v>1783</v>
      </c>
      <c r="CF34" s="2">
        <v>77914800</v>
      </c>
      <c r="CG34" s="2">
        <v>62354800</v>
      </c>
      <c r="CH34" s="2">
        <f>CF34-CG34</f>
      </c>
      <c r="CI34" s="8"/>
      <c r="CJ34" s="8"/>
      <c r="CK34" s="8"/>
      <c r="CL34" s="8"/>
      <c r="CM34" s="2"/>
      <c r="CN34" s="2"/>
      <c r="CO34" s="2"/>
      <c r="CP34" s="8"/>
      <c r="CQ34" s="8"/>
    </row>
    <row customHeight="true" ht="19" r="35">
      <c r="A35" s="8">
        <v>923635</v>
      </c>
      <c r="B35" s="8" t="str">
        <v>Kibo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>
        <v>1030</v>
      </c>
      <c r="CF35" s="2">
        <v>26149000</v>
      </c>
      <c r="CG35" s="2">
        <v>21135200</v>
      </c>
      <c r="CH35" s="2">
        <f>CF35-CG35</f>
      </c>
      <c r="CI35" s="8"/>
      <c r="CJ35" s="8"/>
      <c r="CK35" s="8"/>
      <c r="CL35" s="8"/>
      <c r="CM35" s="2"/>
      <c r="CN35" s="2"/>
      <c r="CO35" s="2"/>
      <c r="CP35" s="8"/>
      <c r="CQ35" s="8"/>
    </row>
    <row customHeight="true" ht="19" r="36">
      <c r="A36" s="8">
        <v>733016</v>
      </c>
      <c r="B36" s="8" t="str">
        <v>Belin Bakery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>
        <f>1835+418</f>
      </c>
      <c r="CF36" s="2">
        <f>42055400+5855900</f>
      </c>
      <c r="CG36" s="2">
        <f>33571700+4627000</f>
      </c>
      <c r="CH36" s="2">
        <f>CF36-CG36</f>
      </c>
      <c r="CI36" s="8"/>
      <c r="CJ36" s="8"/>
      <c r="CK36" s="8"/>
      <c r="CL36" s="8"/>
      <c r="CM36" s="2"/>
      <c r="CN36" s="2"/>
      <c r="CO36" s="2"/>
      <c r="CP36" s="8"/>
      <c r="CQ36" s="8"/>
    </row>
  </sheetData>
  <mergeCells>
    <mergeCell ref="BG2:BJ2"/>
    <mergeCell ref="BK2:BN2"/>
    <mergeCell ref="BO2:BR2"/>
    <mergeCell ref="BS2:BV2"/>
    <mergeCell ref="BW2:BZ2"/>
    <mergeCell ref="CA2:CD2"/>
    <mergeCell ref="CI2:CL2"/>
    <mergeCell ref="CE2:CH2"/>
    <mergeCell ref="CQ2:CQ3"/>
    <mergeCell ref="CR2:CR3"/>
    <mergeCell ref="CM2:CP2"/>
    <mergeCell ref="A1:A3"/>
    <mergeCell ref="B1:B3"/>
    <mergeCell ref="C1:AL1"/>
    <mergeCell ref="AM1:CH1"/>
    <mergeCell ref="C2:E2"/>
    <mergeCell ref="F2:H2"/>
    <mergeCell ref="I2:K2"/>
    <mergeCell ref="L2:N2"/>
    <mergeCell ref="O2:Q2"/>
    <mergeCell ref="A19:B19"/>
    <mergeCell ref="R2:T2"/>
    <mergeCell ref="U2:W2"/>
    <mergeCell ref="X2:Z2"/>
    <mergeCell ref="AA2:AC2"/>
    <mergeCell ref="AD2:AF2"/>
    <mergeCell ref="AG2:AI2"/>
    <mergeCell ref="AJ2:AL2"/>
    <mergeCell ref="AM2:AP2"/>
    <mergeCell ref="AQ2:AT2"/>
    <mergeCell ref="AU2:AX2"/>
    <mergeCell ref="AY2:BB2"/>
    <mergeCell ref="BC2:BF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5" xSplit="1" ySplit="4"/>
    </sheetView>
  </sheetViews>
  <sheetFormatPr defaultColWidth="14" defaultRowHeight="19"/>
  <cols>
    <col collapsed="false" customWidth="true" hidden="false" max="1" min="1" style="0" width="37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19" r="1">
      <c r="A1" s="14" t="str">
        <v>Marketing Target PL (Using Tiktok PL)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customHeight="true" ht="19" r="2">
      <c r="A2" s="14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customHeight="true" ht="19" r="3">
      <c r="A3" s="14" t="str">
        <v>Description</v>
      </c>
      <c r="B3" s="30" t="str">
        <v>Jan'26</v>
      </c>
      <c r="C3" s="30" t="str">
        <v>Feb'26</v>
      </c>
      <c r="D3" s="30" t="str">
        <v>Mar'26</v>
      </c>
      <c r="E3" s="30" t="str">
        <v>Apr'26</v>
      </c>
      <c r="F3" s="30" t="str">
        <v>May'26</v>
      </c>
      <c r="G3" s="30" t="str">
        <v>Jun'26</v>
      </c>
      <c r="H3" s="30" t="str">
        <v>Jul'26</v>
      </c>
      <c r="I3" s="30" t="str">
        <v>Aug'26</v>
      </c>
      <c r="J3" s="30" t="str">
        <v>Sep'26</v>
      </c>
      <c r="K3" s="30" t="str">
        <v>Oct'25</v>
      </c>
      <c r="L3" s="30" t="str">
        <v>Nov'26</v>
      </c>
      <c r="M3" s="30" t="str">
        <v>Des'26</v>
      </c>
    </row>
    <row customHeight="true" ht="19" r="4"/>
    <row customHeight="true" ht="19" r="5">
      <c r="A5" s="14" t="str">
        <v>Deliveries</v>
      </c>
    </row>
    <row customHeight="true" ht="19" r="6">
      <c r="A6" s="14" t="str">
        <v>- Before</v>
      </c>
      <c r="B6" s="31">
        <v>72550</v>
      </c>
      <c r="C6" s="31">
        <v>91783</v>
      </c>
      <c r="D6" s="31">
        <v>121890</v>
      </c>
      <c r="E6" s="31">
        <v>112183</v>
      </c>
      <c r="F6" s="31">
        <v>118363</v>
      </c>
      <c r="G6" s="31">
        <v>124572</v>
      </c>
      <c r="H6" s="31">
        <v>130292</v>
      </c>
      <c r="I6" s="31">
        <v>136409</v>
      </c>
      <c r="J6" s="31">
        <v>142298</v>
      </c>
      <c r="K6" s="31">
        <v>148391</v>
      </c>
      <c r="L6" s="31">
        <v>164789</v>
      </c>
      <c r="M6" s="31">
        <v>201067</v>
      </c>
    </row>
    <row customHeight="true" ht="19" r="7">
      <c r="A7" s="14" t="str">
        <v>- After</v>
      </c>
      <c r="B7" s="31">
        <v>72550</v>
      </c>
      <c r="C7" s="31">
        <v>91783</v>
      </c>
      <c r="D7" s="31">
        <v>122790</v>
      </c>
      <c r="E7" s="31">
        <v>116973</v>
      </c>
      <c r="F7" s="31">
        <v>123296</v>
      </c>
      <c r="G7" s="31">
        <v>129653</v>
      </c>
      <c r="H7" s="31">
        <v>135526</v>
      </c>
      <c r="I7" s="31">
        <v>141800</v>
      </c>
      <c r="J7" s="31">
        <v>147851</v>
      </c>
      <c r="K7" s="31">
        <v>154110</v>
      </c>
      <c r="L7" s="31">
        <v>170680</v>
      </c>
      <c r="M7" s="31">
        <v>207548</v>
      </c>
    </row>
    <row customHeight="true" ht="19" r="8">
      <c r="A8" s="14" t="str">
        <v>Diff</v>
      </c>
      <c r="B8" s="31">
        <f>B7-B6</f>
      </c>
      <c r="C8" s="31">
        <f>C7-C6</f>
      </c>
      <c r="D8" s="31">
        <f>D7-D6</f>
      </c>
      <c r="E8" s="31">
        <f>E7-E6</f>
      </c>
      <c r="F8" s="31">
        <f>F7-F6</f>
      </c>
      <c r="G8" s="31">
        <f>G7-G6</f>
      </c>
      <c r="H8" s="31">
        <f>H7-H6</f>
      </c>
      <c r="I8" s="31">
        <f>I7-I6</f>
      </c>
      <c r="J8" s="31">
        <f>J7-J6</f>
      </c>
      <c r="K8" s="31">
        <f>K7-K6</f>
      </c>
      <c r="L8" s="31">
        <f>L7-L6</f>
      </c>
      <c r="M8" s="31">
        <f>M7-M6</f>
      </c>
    </row>
    <row customHeight="true" ht="19" r="9"/>
    <row customHeight="true" ht="19" r="10">
      <c r="A10" s="14" t="str">
        <v>GMV</v>
      </c>
    </row>
    <row customHeight="true" ht="19" r="11">
      <c r="A11" s="14" t="str">
        <v>- Before</v>
      </c>
      <c r="B11" s="31">
        <v>1197075000</v>
      </c>
      <c r="C11" s="31">
        <v>1284962000</v>
      </c>
      <c r="D11" s="31">
        <v>1767405000</v>
      </c>
      <c r="E11" s="31">
        <v>1458379000</v>
      </c>
      <c r="F11" s="31">
        <v>1538719000</v>
      </c>
      <c r="G11" s="31">
        <v>1619436000</v>
      </c>
      <c r="H11" s="31">
        <v>1693796000</v>
      </c>
      <c r="I11" s="31">
        <v>1773317000</v>
      </c>
      <c r="J11" s="31">
        <v>1849874000</v>
      </c>
      <c r="K11" s="31">
        <v>1929083000</v>
      </c>
      <c r="L11" s="31">
        <v>2142257000</v>
      </c>
      <c r="M11" s="31">
        <v>3317605500</v>
      </c>
    </row>
    <row customHeight="true" ht="19" r="12">
      <c r="A12" s="14" t="str">
        <v>- After</v>
      </c>
      <c r="B12" s="31">
        <v>1197075000</v>
      </c>
      <c r="C12" s="31">
        <v>1284962000</v>
      </c>
      <c r="D12" s="31">
        <v>1780455000</v>
      </c>
      <c r="E12" s="31">
        <v>1520649000</v>
      </c>
      <c r="F12" s="31">
        <v>1602848000</v>
      </c>
      <c r="G12" s="31">
        <v>1685489000</v>
      </c>
      <c r="H12" s="31">
        <v>1761838000</v>
      </c>
      <c r="I12" s="31">
        <v>1843400000</v>
      </c>
      <c r="J12" s="31">
        <v>1922063000</v>
      </c>
      <c r="K12" s="31">
        <v>2003430000</v>
      </c>
      <c r="L12" s="31">
        <v>2218840000</v>
      </c>
      <c r="M12" s="31">
        <v>3424542000</v>
      </c>
    </row>
    <row customHeight="true" ht="19" r="13">
      <c r="A13" s="14" t="str">
        <v>Diff</v>
      </c>
      <c r="B13" s="31">
        <f>B12-B11</f>
      </c>
      <c r="C13" s="31">
        <f>C12-C11</f>
      </c>
      <c r="D13" s="31">
        <f>D12-D11</f>
      </c>
      <c r="E13" s="31">
        <f>E12-E11</f>
      </c>
      <c r="F13" s="31">
        <f>F12-F11</f>
      </c>
      <c r="G13" s="31">
        <f>G12-G11</f>
      </c>
      <c r="H13" s="31">
        <f>H12-H11</f>
      </c>
      <c r="I13" s="31">
        <f>I12-I11</f>
      </c>
      <c r="J13" s="31">
        <f>J12-J11</f>
      </c>
      <c r="K13" s="31">
        <f>K12-K11</f>
      </c>
      <c r="L13" s="31">
        <f>L12-L11</f>
      </c>
      <c r="M13" s="31">
        <f>M12-M11</f>
      </c>
    </row>
    <row customHeight="true" ht="19" r="14"/>
    <row customHeight="true" ht="19" r="15">
      <c r="A15" s="14" t="str">
        <v>Couriers</v>
      </c>
    </row>
    <row customHeight="true" ht="19" r="16">
      <c r="A16" s="14" t="str">
        <v>- Before</v>
      </c>
      <c r="B16" s="14">
        <v>1650</v>
      </c>
      <c r="C16" s="14">
        <f>B16</f>
      </c>
      <c r="D16" s="14">
        <f>C16</f>
      </c>
      <c r="E16" s="14">
        <f>D16</f>
      </c>
      <c r="F16" s="14">
        <f>E16</f>
      </c>
      <c r="G16" s="14">
        <f>F16</f>
      </c>
      <c r="H16" s="14">
        <f>G16</f>
      </c>
      <c r="I16" s="14">
        <f>H16</f>
      </c>
      <c r="J16" s="14">
        <f>I16</f>
      </c>
      <c r="K16" s="14">
        <f>J16</f>
      </c>
      <c r="L16" s="14">
        <f>K16</f>
      </c>
      <c r="M16" s="14">
        <f>L16</f>
      </c>
    </row>
    <row customHeight="true" ht="19" r="17">
      <c r="A17" s="14" t="str">
        <v>- After</v>
      </c>
      <c r="B17" s="14">
        <f>B16+115</f>
      </c>
      <c r="C17" s="14">
        <f>B17+150</f>
      </c>
      <c r="D17" s="14">
        <f>C17+200</f>
      </c>
      <c r="E17" s="14">
        <f>D17+200</f>
      </c>
      <c r="F17" s="14">
        <f>E17+200</f>
      </c>
      <c r="G17" s="14">
        <f>F17+200</f>
      </c>
      <c r="H17" s="14">
        <f>G17+200</f>
      </c>
      <c r="I17" s="14">
        <f>H17+200</f>
      </c>
      <c r="J17" s="14">
        <f>I17+200</f>
      </c>
      <c r="K17" s="14">
        <f>J17+200</f>
      </c>
      <c r="L17" s="14">
        <f>K17+200</f>
      </c>
      <c r="M17" s="14">
        <f>L17+200</f>
      </c>
    </row>
    <row customHeight="true" ht="19" r="18">
      <c r="A18" s="14" t="str">
        <v>Diff</v>
      </c>
      <c r="B18" s="14">
        <f>B17-B16</f>
      </c>
      <c r="C18" s="14">
        <f>C17-C16</f>
      </c>
      <c r="D18" s="14">
        <f>D17-D16</f>
      </c>
      <c r="E18" s="14">
        <f>E17-E16</f>
      </c>
      <c r="F18" s="14">
        <f>F17-F16</f>
      </c>
      <c r="G18" s="14">
        <f>G17-G16</f>
      </c>
      <c r="H18" s="14">
        <f>H17-H16</f>
      </c>
      <c r="I18" s="14">
        <f>I17-I16</f>
      </c>
      <c r="J18" s="14">
        <f>J17-J16</f>
      </c>
      <c r="K18" s="14">
        <f>K17-K16</f>
      </c>
      <c r="L18" s="14">
        <f>L17-L16</f>
      </c>
      <c r="M18" s="14">
        <f>M17-M16</f>
      </c>
    </row>
    <row customHeight="true" ht="19" r="19"/>
    <row customHeight="true" ht="19" r="20">
      <c r="A20" s="14" t="str">
        <v>Average Deliveries Per Couriers</v>
      </c>
      <c r="B20" s="32">
        <f>B7/B17</f>
      </c>
      <c r="C20" s="32">
        <f>C7/C17</f>
      </c>
      <c r="D20" s="32">
        <f>D7/D17</f>
      </c>
      <c r="E20" s="32">
        <f>E7/E17</f>
      </c>
      <c r="F20" s="32">
        <f>F7/F17</f>
      </c>
      <c r="G20" s="32">
        <f>G7/G17</f>
      </c>
      <c r="H20" s="32">
        <f>H7/H17</f>
      </c>
      <c r="I20" s="32">
        <f>I7/I17</f>
      </c>
      <c r="J20" s="32">
        <f>J7/J17</f>
      </c>
      <c r="K20" s="32">
        <f>K7/K17</f>
      </c>
      <c r="L20" s="32">
        <f>L7/L17</f>
      </c>
      <c r="M20" s="32">
        <f>M7/M17</f>
      </c>
    </row>
    <row customHeight="true" ht="19" r="21"/>
    <row customHeight="true" ht="19" r="22"/>
    <row customHeight="true" ht="19" r="23">
      <c r="A23" s="14" t="str">
        <v>Marketing Budget</v>
      </c>
    </row>
    <row customHeight="true" ht="19" r="24">
      <c r="A24" s="14" t="str">
        <v>- Marketing Budget</v>
      </c>
      <c r="B24" s="31">
        <v>5000000</v>
      </c>
      <c r="C24" s="31">
        <v>35000000</v>
      </c>
      <c r="D24" s="31">
        <v>35000000</v>
      </c>
      <c r="E24" s="31">
        <v>35000000</v>
      </c>
      <c r="F24" s="31">
        <v>35000000</v>
      </c>
      <c r="G24" s="31">
        <v>35000000</v>
      </c>
      <c r="H24" s="31">
        <v>35000000</v>
      </c>
      <c r="I24" s="31">
        <v>35000000</v>
      </c>
      <c r="J24" s="31">
        <v>35000000</v>
      </c>
      <c r="K24" s="31">
        <v>35000000</v>
      </c>
      <c r="L24" s="31">
        <v>35000000</v>
      </c>
      <c r="M24" s="31">
        <v>35000000</v>
      </c>
    </row>
    <row customHeight="true" ht="19" r="25">
      <c r="A25" s="14" t="str">
        <v>- Salary team</v>
      </c>
      <c r="B25" s="31">
        <v>4050000</v>
      </c>
      <c r="C25" s="31">
        <v>9900000</v>
      </c>
      <c r="D25" s="31">
        <v>9900000</v>
      </c>
      <c r="E25" s="31">
        <v>9900000</v>
      </c>
      <c r="F25" s="31">
        <v>9900000</v>
      </c>
      <c r="G25" s="31">
        <v>9900000</v>
      </c>
      <c r="H25" s="31">
        <v>9900000</v>
      </c>
      <c r="I25" s="31">
        <v>9900000</v>
      </c>
      <c r="J25" s="31">
        <v>9900000</v>
      </c>
      <c r="K25" s="31">
        <v>9900000</v>
      </c>
      <c r="L25" s="31">
        <v>9900000</v>
      </c>
      <c r="M25" s="31">
        <v>9900000</v>
      </c>
    </row>
    <row customHeight="true" ht="19" r="26">
      <c r="A26" s="14" t="str">
        <v>Total</v>
      </c>
      <c r="B26" s="31">
        <f>sum(B24:B25)</f>
      </c>
      <c r="C26" s="31">
        <f>sum(C24:C25)</f>
      </c>
      <c r="D26" s="31">
        <f>sum(D24:D25)</f>
      </c>
      <c r="E26" s="31">
        <f>sum(E24:E25)</f>
      </c>
      <c r="F26" s="31">
        <f>sum(F24:F25)</f>
      </c>
      <c r="G26" s="31">
        <f>sum(G24:G25)</f>
      </c>
      <c r="H26" s="31">
        <f>sum(H24:H25)</f>
      </c>
      <c r="I26" s="31">
        <f>sum(I24:I25)</f>
      </c>
      <c r="J26" s="31">
        <f>sum(J24:J25)</f>
      </c>
      <c r="K26" s="31">
        <f>sum(K24:K25)</f>
      </c>
      <c r="L26" s="31">
        <f>sum(L24:L25)</f>
      </c>
      <c r="M26" s="31">
        <f>sum(M24:M25)</f>
      </c>
    </row>
    <row customHeight="true" ht="19" r="27"/>
    <row customHeight="true" ht="19" r="28">
      <c r="A28" s="14" t="str">
        <v>PL Effect</v>
      </c>
      <c r="B28" s="33">
        <f>B13-B26</f>
      </c>
      <c r="C28" s="33">
        <f>C13-C26</f>
      </c>
      <c r="D28" s="33">
        <f>D13-D26</f>
      </c>
      <c r="E28" s="34">
        <f>E13-E26</f>
      </c>
      <c r="F28" s="34">
        <f>F13-F26</f>
      </c>
      <c r="G28" s="34">
        <f>G13-G26</f>
      </c>
      <c r="H28" s="34">
        <f>H13-H26</f>
      </c>
      <c r="I28" s="34">
        <f>I13-I26</f>
      </c>
      <c r="J28" s="34">
        <f>J13-J26</f>
      </c>
      <c r="K28" s="34">
        <f>K13-K26</f>
      </c>
      <c r="L28" s="34">
        <f>L13-L26</f>
      </c>
      <c r="M28" s="34">
        <f>M13-M26</f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64" xSplit="2" ySplit="63"/>
    </sheetView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14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16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16"/>
    <col collapsed="false" customWidth="true" hidden="false" max="14" min="14" style="0" width="16"/>
    <col collapsed="false" customWidth="true" hidden="false" max="15" min="15" style="0" width="19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idden="true" ht="19" r="1">
      <c r="A1" s="23" t="str">
        <v>Slow Growing Projection</v>
      </c>
      <c r="B1" s="23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4"/>
      <c r="P1" s="4"/>
      <c r="Q1" s="4"/>
      <c r="R1" s="4"/>
      <c r="S1" s="4"/>
      <c r="T1" s="4"/>
    </row>
    <row customHeight="true" hidden="true" ht="19" r="2">
      <c r="A2" s="4"/>
      <c r="B2" s="23" t="str">
        <v>%</v>
      </c>
      <c r="C2" s="30" t="str">
        <v>Jan'26</v>
      </c>
      <c r="D2" s="30" t="str">
        <v>Feb'26</v>
      </c>
      <c r="E2" s="30" t="str">
        <v>Mar'26</v>
      </c>
      <c r="F2" s="30" t="str">
        <v>Apr'26</v>
      </c>
      <c r="G2" s="30" t="str">
        <v>May'26</v>
      </c>
      <c r="H2" s="30" t="str">
        <v>Jun'26</v>
      </c>
      <c r="I2" s="30" t="str">
        <v>Jul'26</v>
      </c>
      <c r="J2" s="30" t="str">
        <v>Aug'26</v>
      </c>
      <c r="K2" s="30" t="str">
        <v>Sep'26</v>
      </c>
      <c r="L2" s="30" t="str">
        <v>Oct'25</v>
      </c>
      <c r="M2" s="30" t="str">
        <v>Nov'26</v>
      </c>
      <c r="N2" s="30" t="str">
        <v>Des'26</v>
      </c>
      <c r="O2" s="4"/>
      <c r="P2" s="4"/>
      <c r="Q2" s="4"/>
      <c r="R2" s="4"/>
      <c r="S2" s="4"/>
      <c r="T2" s="4"/>
    </row>
    <row customHeight="true" hidden="true" ht="19" r="3">
      <c r="A3" s="23" t="str">
        <v>Deliveries</v>
      </c>
      <c r="B3" s="4"/>
      <c r="C3" s="38">
        <f>'Client Forecast'!B5</f>
      </c>
      <c r="D3" s="38">
        <f>'Client Forecast'!C5</f>
      </c>
      <c r="E3" s="38">
        <f>'Client Forecast'!D5</f>
      </c>
      <c r="F3" s="38">
        <f>'Client Forecast'!E5</f>
      </c>
      <c r="G3" s="38">
        <f>'Client Forecast'!F5</f>
      </c>
      <c r="H3" s="38">
        <f>'Client Forecast'!G5</f>
      </c>
      <c r="I3" s="38">
        <f>'Client Forecast'!H5</f>
      </c>
      <c r="J3" s="38">
        <f>'Client Forecast'!I5</f>
      </c>
      <c r="K3" s="38">
        <f>'Client Forecast'!J5</f>
      </c>
      <c r="L3" s="38">
        <f>'Client Forecast'!K5</f>
      </c>
      <c r="M3" s="38">
        <f>'Client Forecast'!L5</f>
      </c>
      <c r="N3" s="38">
        <f>'Client Forecast'!M5</f>
      </c>
      <c r="O3" s="4"/>
      <c r="P3" s="4"/>
      <c r="Q3" s="4"/>
      <c r="R3" s="4"/>
      <c r="S3" s="4"/>
      <c r="T3" s="4"/>
    </row>
    <row customHeight="true" hidden="true" ht="19" r="4">
      <c r="A4" s="4" t="str">
        <v>ADV</v>
      </c>
      <c r="B4" s="4"/>
      <c r="C4" s="35">
        <v>16500</v>
      </c>
      <c r="D4" s="35">
        <v>18000</v>
      </c>
      <c r="E4" s="35">
        <v>18500</v>
      </c>
      <c r="F4" s="35">
        <v>16500</v>
      </c>
      <c r="G4" s="35">
        <v>16500</v>
      </c>
      <c r="H4" s="35">
        <v>16500</v>
      </c>
      <c r="I4" s="35">
        <v>16500</v>
      </c>
      <c r="J4" s="35">
        <v>16500</v>
      </c>
      <c r="K4" s="35">
        <v>16500</v>
      </c>
      <c r="L4" s="35">
        <v>16500</v>
      </c>
      <c r="M4" s="35">
        <v>16500</v>
      </c>
      <c r="N4" s="35">
        <v>19400</v>
      </c>
      <c r="O4" s="4"/>
      <c r="P4" s="4"/>
      <c r="Q4" s="4"/>
      <c r="R4" s="4"/>
      <c r="S4" s="4"/>
      <c r="T4" s="4"/>
    </row>
    <row customHeight="true" hidden="true" ht="19" r="5">
      <c r="A5" s="4"/>
      <c r="B5" s="4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4"/>
      <c r="P5" s="4"/>
      <c r="Q5" s="4"/>
      <c r="R5" s="4"/>
      <c r="S5" s="4"/>
      <c r="T5" s="4"/>
    </row>
    <row customHeight="true" hidden="true" ht="19" r="6">
      <c r="A6" s="23" t="str">
        <v>GMV</v>
      </c>
      <c r="B6" s="4"/>
      <c r="C6" s="38">
        <f>C3*C4</f>
      </c>
      <c r="D6" s="38">
        <f>D3*D4</f>
      </c>
      <c r="E6" s="38">
        <f>E3*E4</f>
      </c>
      <c r="F6" s="38">
        <f>F3*F4</f>
      </c>
      <c r="G6" s="38">
        <f>G3*G4</f>
      </c>
      <c r="H6" s="38">
        <f>H3*H4</f>
      </c>
      <c r="I6" s="38">
        <f>I3*I4</f>
      </c>
      <c r="J6" s="38">
        <f>J3*J4</f>
      </c>
      <c r="K6" s="38">
        <f>K3*K4</f>
      </c>
      <c r="L6" s="38">
        <f>L3*L4</f>
      </c>
      <c r="M6" s="38">
        <f>M3*M4</f>
      </c>
      <c r="N6" s="38">
        <f>N3*N4</f>
      </c>
      <c r="O6" s="4"/>
      <c r="P6" s="4"/>
      <c r="Q6" s="4"/>
      <c r="R6" s="4"/>
      <c r="S6" s="4"/>
      <c r="T6" s="4"/>
    </row>
    <row customHeight="true" hidden="true" ht="19" r="7">
      <c r="A7" s="4" t="str">
        <v>Couriers Cost</v>
      </c>
      <c r="B7" s="44">
        <v>0.78</v>
      </c>
      <c r="C7" s="35">
        <f>C6*$B$7</f>
      </c>
      <c r="D7" s="35">
        <f>D6*$B$7</f>
      </c>
      <c r="E7" s="35">
        <f>E6*$B$7</f>
      </c>
      <c r="F7" s="35">
        <f>F6*$B$7</f>
      </c>
      <c r="G7" s="35">
        <f>G6*$B$7</f>
      </c>
      <c r="H7" s="35">
        <f>H6*$B$7</f>
      </c>
      <c r="I7" s="35">
        <f>I6*$B$7</f>
      </c>
      <c r="J7" s="35">
        <f>J6*$B$7</f>
      </c>
      <c r="K7" s="35">
        <f>K6*$B$7</f>
      </c>
      <c r="L7" s="35">
        <f>L6*$B$7</f>
      </c>
      <c r="M7" s="35">
        <f>M6*$B$7</f>
      </c>
      <c r="N7" s="35">
        <f>N6*$B$7</f>
      </c>
      <c r="O7" s="4"/>
      <c r="P7" s="4"/>
      <c r="Q7" s="4"/>
      <c r="R7" s="4"/>
      <c r="S7" s="4"/>
      <c r="T7" s="4"/>
    </row>
    <row customHeight="true" hidden="true" ht="19" r="8">
      <c r="A8" s="4"/>
      <c r="B8" s="4"/>
      <c r="C8" s="36"/>
      <c r="D8" s="37">
        <f>(D6-C6)/C6</f>
      </c>
      <c r="E8" s="37">
        <f>(E6-D6)/D6</f>
      </c>
      <c r="F8" s="37">
        <f>(F6-E6)/E6</f>
      </c>
      <c r="G8" s="37">
        <f>(G6-F6)/F6</f>
      </c>
      <c r="H8" s="37">
        <f>(H6-G6)/G6</f>
      </c>
      <c r="I8" s="37">
        <f>(I6-H6)/H6</f>
      </c>
      <c r="J8" s="37">
        <f>(J6-I6)/I6</f>
      </c>
      <c r="K8" s="37">
        <f>(K6-J6)/J6</f>
      </c>
      <c r="L8" s="37">
        <f>(L6-K6)/K6</f>
      </c>
      <c r="M8" s="37">
        <f>(M6-L6)/L6</f>
      </c>
      <c r="N8" s="37">
        <f>(N6-M6)/M6</f>
      </c>
      <c r="O8" s="4"/>
      <c r="P8" s="4"/>
      <c r="Q8" s="4"/>
      <c r="R8" s="4"/>
      <c r="S8" s="4"/>
      <c r="T8" s="4"/>
    </row>
    <row customHeight="true" hidden="true" ht="19" r="9">
      <c r="A9" s="23" t="str">
        <v>Gross Margin</v>
      </c>
      <c r="B9" s="4"/>
      <c r="C9" s="38">
        <f>C6-C7</f>
      </c>
      <c r="D9" s="38">
        <f>D6-D7</f>
      </c>
      <c r="E9" s="38">
        <f>E6-E7</f>
      </c>
      <c r="F9" s="38">
        <f>F6-F7</f>
      </c>
      <c r="G9" s="38">
        <f>G6-G7</f>
      </c>
      <c r="H9" s="38">
        <f>H6-H7</f>
      </c>
      <c r="I9" s="38">
        <f>I6-I7</f>
      </c>
      <c r="J9" s="38">
        <f>J6-J7</f>
      </c>
      <c r="K9" s="38">
        <f>K6-K7</f>
      </c>
      <c r="L9" s="38">
        <f>L6-L7</f>
      </c>
      <c r="M9" s="38">
        <f>M6-M7</f>
      </c>
      <c r="N9" s="38">
        <f>N6-N7</f>
      </c>
      <c r="O9" s="4"/>
      <c r="P9" s="4"/>
      <c r="Q9" s="4"/>
      <c r="R9" s="4"/>
      <c r="S9" s="4"/>
      <c r="T9" s="4"/>
    </row>
    <row customHeight="true" hidden="true" ht="19" r="10">
      <c r="A10" s="4"/>
      <c r="B10" s="4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4"/>
      <c r="P10" s="4"/>
      <c r="Q10" s="4"/>
      <c r="R10" s="4"/>
      <c r="S10" s="4"/>
      <c r="T10" s="4"/>
    </row>
    <row customHeight="true" hidden="true" ht="19" r="11">
      <c r="A11" s="23" t="str">
        <v>OS Cost</v>
      </c>
      <c r="B11" s="4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4"/>
      <c r="P11" s="4"/>
      <c r="Q11" s="4"/>
      <c r="R11" s="4"/>
      <c r="S11" s="4"/>
      <c r="T11" s="4"/>
    </row>
    <row customHeight="true" hidden="true" ht="19" r="12">
      <c r="A12" s="4" t="str">
        <v>Bank Fee</v>
      </c>
      <c r="B12" s="45">
        <v>0.004</v>
      </c>
      <c r="C12" s="35">
        <f>$B$12*C6</f>
      </c>
      <c r="D12" s="35">
        <f>$B$12*D6</f>
      </c>
      <c r="E12" s="35">
        <f>$B$12*E6</f>
      </c>
      <c r="F12" s="35">
        <f>$B$12*F6</f>
      </c>
      <c r="G12" s="35">
        <f>$B$12*G6</f>
      </c>
      <c r="H12" s="35">
        <f>$B$12*H6</f>
      </c>
      <c r="I12" s="35">
        <f>$B$12*I6</f>
      </c>
      <c r="J12" s="35">
        <f>$B$12*J6</f>
      </c>
      <c r="K12" s="35">
        <f>$B$12*K6</f>
      </c>
      <c r="L12" s="35">
        <f>$B$12*L6</f>
      </c>
      <c r="M12" s="35">
        <f>$B$12*M6</f>
      </c>
      <c r="N12" s="35">
        <f>$B$12*N6</f>
      </c>
      <c r="O12" s="4"/>
      <c r="P12" s="4"/>
      <c r="Q12" s="4"/>
      <c r="R12" s="4"/>
      <c r="S12" s="4"/>
      <c r="T12" s="4"/>
    </row>
    <row customHeight="true" hidden="true" ht="19" r="13">
      <c r="A13" s="40" t="str">
        <v>Infrastructure + IT Support</v>
      </c>
      <c r="B13" s="40" t="str">
        <v>USD 14.070</v>
      </c>
      <c r="C13" s="39">
        <f>14070*16700</f>
      </c>
      <c r="D13" s="39">
        <f>14070*16700</f>
      </c>
      <c r="E13" s="39">
        <f>14070*16700</f>
      </c>
      <c r="F13" s="39">
        <f>14070*16700</f>
      </c>
      <c r="G13" s="39">
        <f>14070*16700</f>
      </c>
      <c r="H13" s="39">
        <f>14070*16700</f>
      </c>
      <c r="I13" s="39">
        <f>14070*16700</f>
      </c>
      <c r="J13" s="39">
        <f>14070*16700</f>
      </c>
      <c r="K13" s="39">
        <f>14070*16700</f>
      </c>
      <c r="L13" s="39">
        <f>14070*16700</f>
      </c>
      <c r="M13" s="39">
        <f>14070*16700</f>
      </c>
      <c r="N13" s="39">
        <f>14070*16700</f>
      </c>
      <c r="O13" s="40"/>
      <c r="P13" s="40"/>
      <c r="Q13" s="40"/>
      <c r="R13" s="40"/>
      <c r="S13" s="40"/>
      <c r="T13" s="40"/>
    </row>
    <row customHeight="true" hidden="true" ht="19" r="14">
      <c r="A14" s="4" t="str">
        <v>Loss from fraud,incident</v>
      </c>
      <c r="B14" s="37">
        <v>0.000003</v>
      </c>
      <c r="C14" s="35">
        <f>$B$14*C6</f>
      </c>
      <c r="D14" s="35">
        <f>$B$14*D6</f>
      </c>
      <c r="E14" s="35">
        <f>$B$14*E6</f>
      </c>
      <c r="F14" s="35">
        <f>$B$14*F6</f>
      </c>
      <c r="G14" s="35">
        <f>$B$14*G6</f>
      </c>
      <c r="H14" s="35">
        <f>$B$14*H6</f>
      </c>
      <c r="I14" s="35">
        <f>$B$14*I6</f>
      </c>
      <c r="J14" s="35">
        <f>$B$14*J6</f>
      </c>
      <c r="K14" s="35">
        <f>$B$14*K6</f>
      </c>
      <c r="L14" s="35">
        <f>$B$14*L6</f>
      </c>
      <c r="M14" s="35">
        <f>$B$14*M6</f>
      </c>
      <c r="N14" s="35">
        <f>$B$14*N6</f>
      </c>
      <c r="O14" s="4"/>
      <c r="P14" s="4"/>
      <c r="Q14" s="4"/>
      <c r="R14" s="4"/>
      <c r="S14" s="4"/>
      <c r="T14" s="4"/>
    </row>
    <row customHeight="true" hidden="true" ht="19" r="15">
      <c r="A15" s="4" t="str">
        <v>Salary - OS team</v>
      </c>
      <c r="B15" s="4"/>
      <c r="C15" s="35">
        <f>82200000*118%</f>
      </c>
      <c r="D15" s="35">
        <f>82200000*118%</f>
      </c>
      <c r="E15" s="35">
        <f>82200000*118%*2</f>
      </c>
      <c r="F15" s="35">
        <f>82200000*118%</f>
      </c>
      <c r="G15" s="35">
        <f>82200000*118%</f>
      </c>
      <c r="H15" s="35">
        <f>82200000*118%</f>
      </c>
      <c r="I15" s="35">
        <f>82200000*118%</f>
      </c>
      <c r="J15" s="35">
        <f>82200000*118%</f>
      </c>
      <c r="K15" s="35">
        <f>82200000*118%</f>
      </c>
      <c r="L15" s="35">
        <f>82200000*118%</f>
      </c>
      <c r="M15" s="35">
        <f>82200000*118%</f>
      </c>
      <c r="N15" s="35">
        <f>82200000*118%</f>
      </c>
      <c r="O15" s="4"/>
      <c r="P15" s="4"/>
      <c r="Q15" s="4"/>
      <c r="R15" s="4"/>
      <c r="S15" s="4"/>
      <c r="T15" s="4"/>
    </row>
    <row customHeight="true" hidden="true" ht="19" r="16">
      <c r="A16" s="4" t="str">
        <v>Other OS cost</v>
      </c>
      <c r="B16" s="4"/>
      <c r="C16" s="35">
        <f>150000*27*3</f>
      </c>
      <c r="D16" s="35">
        <f>150000*27*3</f>
      </c>
      <c r="E16" s="35">
        <f>150000*27*3</f>
      </c>
      <c r="F16" s="35">
        <f>150000*27*3</f>
      </c>
      <c r="G16" s="35">
        <f>150000*27*3</f>
      </c>
      <c r="H16" s="35">
        <f>150000*27*3</f>
      </c>
      <c r="I16" s="35">
        <f>150000*27*3</f>
      </c>
      <c r="J16" s="35">
        <f>150000*27*3</f>
      </c>
      <c r="K16" s="35">
        <f>150000*27*3</f>
      </c>
      <c r="L16" s="35">
        <f>150000*27*3</f>
      </c>
      <c r="M16" s="35">
        <f>150000*27*3</f>
      </c>
      <c r="N16" s="35">
        <f>150000*27*3</f>
      </c>
      <c r="O16" s="4"/>
      <c r="P16" s="4"/>
      <c r="Q16" s="4"/>
      <c r="R16" s="4"/>
      <c r="S16" s="4"/>
      <c r="T16" s="4"/>
    </row>
    <row customHeight="true" hidden="true" ht="19" r="17">
      <c r="A17" s="23" t="str">
        <v>Total OS Cost</v>
      </c>
      <c r="B17" s="4"/>
      <c r="C17" s="38">
        <f>SUM(C12:C16)</f>
      </c>
      <c r="D17" s="38">
        <f>SUM(D12:D16)</f>
      </c>
      <c r="E17" s="38">
        <f>SUM(E12:E16)</f>
      </c>
      <c r="F17" s="38">
        <f>SUM(F12:F16)</f>
      </c>
      <c r="G17" s="38">
        <f>SUM(G12:G16)</f>
      </c>
      <c r="H17" s="38">
        <f>SUM(H12:H16)</f>
      </c>
      <c r="I17" s="38">
        <f>SUM(I12:I16)</f>
      </c>
      <c r="J17" s="38">
        <f>SUM(J12:J16)</f>
      </c>
      <c r="K17" s="38">
        <f>SUM(K12:K16)</f>
      </c>
      <c r="L17" s="38">
        <f>SUM(L12:L16)</f>
      </c>
      <c r="M17" s="38">
        <f>SUM(M12:M16)</f>
      </c>
      <c r="N17" s="38">
        <f>SUM(N12:N16)</f>
      </c>
      <c r="O17" s="4"/>
      <c r="P17" s="4"/>
      <c r="Q17" s="4"/>
      <c r="R17" s="4"/>
      <c r="S17" s="4"/>
      <c r="T17" s="4"/>
    </row>
    <row customHeight="true" hidden="true" ht="19" r="18">
      <c r="A18" s="4"/>
      <c r="B18" s="4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4"/>
      <c r="P18" s="4"/>
      <c r="Q18" s="4"/>
      <c r="R18" s="4"/>
      <c r="S18" s="4"/>
      <c r="T18" s="4"/>
    </row>
    <row customHeight="true" hidden="true" ht="19" r="19">
      <c r="A19" s="23" t="str">
        <v>Margin After Operating</v>
      </c>
      <c r="B19" s="4"/>
      <c r="C19" s="38">
        <f>C9-C17</f>
      </c>
      <c r="D19" s="38">
        <f>D9-D17</f>
      </c>
      <c r="E19" s="38">
        <f>E9-E17</f>
      </c>
      <c r="F19" s="38">
        <f>F9-F17</f>
      </c>
      <c r="G19" s="38">
        <f>G9-G17</f>
      </c>
      <c r="H19" s="38">
        <f>H9-H17</f>
      </c>
      <c r="I19" s="38">
        <f>I9-I17</f>
      </c>
      <c r="J19" s="38">
        <f>J9-J17</f>
      </c>
      <c r="K19" s="38">
        <f>K9-K17</f>
      </c>
      <c r="L19" s="38">
        <f>L9-L17</f>
      </c>
      <c r="M19" s="38">
        <f>M9-M17</f>
      </c>
      <c r="N19" s="38">
        <f>N9-N17</f>
      </c>
      <c r="O19" s="4"/>
      <c r="P19" s="4"/>
      <c r="Q19" s="4"/>
      <c r="R19" s="4"/>
      <c r="S19" s="4"/>
      <c r="T19" s="4"/>
    </row>
    <row customHeight="true" hidden="true" ht="19" r="20">
      <c r="A20" s="4"/>
      <c r="B20" s="4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4"/>
      <c r="P20" s="4"/>
      <c r="Q20" s="4"/>
      <c r="R20" s="4"/>
      <c r="S20" s="4"/>
      <c r="T20" s="4"/>
    </row>
    <row customHeight="true" hidden="true" ht="19" r="21">
      <c r="A21" s="23" t="str">
        <v>Marketing Cost</v>
      </c>
      <c r="B21" s="4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4"/>
      <c r="P21" s="4"/>
      <c r="Q21" s="4"/>
      <c r="R21" s="4"/>
      <c r="S21" s="4"/>
      <c r="T21" s="4"/>
    </row>
    <row customHeight="true" hidden="true" ht="19" r="22">
      <c r="A22" s="4" t="str">
        <v>SEO, SEM, Etc</v>
      </c>
      <c r="B22" s="4"/>
      <c r="C22" s="35">
        <v>5000000</v>
      </c>
      <c r="D22" s="35">
        <v>35000000</v>
      </c>
      <c r="E22" s="35">
        <v>35000000</v>
      </c>
      <c r="F22" s="35">
        <v>35000000</v>
      </c>
      <c r="G22" s="35">
        <v>35000000</v>
      </c>
      <c r="H22" s="35">
        <v>35000000</v>
      </c>
      <c r="I22" s="35">
        <v>35000000</v>
      </c>
      <c r="J22" s="35">
        <v>35000000</v>
      </c>
      <c r="K22" s="35">
        <v>35000000</v>
      </c>
      <c r="L22" s="35">
        <v>35000000</v>
      </c>
      <c r="M22" s="35">
        <v>35000000</v>
      </c>
      <c r="N22" s="35">
        <v>35000000</v>
      </c>
      <c r="O22" s="4"/>
      <c r="P22" s="4"/>
      <c r="Q22" s="4"/>
      <c r="R22" s="4"/>
      <c r="S22" s="4"/>
      <c r="T22" s="4"/>
    </row>
    <row customHeight="true" hidden="true" ht="19" r="23">
      <c r="A23" s="4" t="str">
        <v>Soc Med Cost</v>
      </c>
      <c r="B23" s="4"/>
      <c r="C23" s="35">
        <v>1000000</v>
      </c>
      <c r="D23" s="35">
        <v>1000000</v>
      </c>
      <c r="E23" s="35">
        <v>1000000</v>
      </c>
      <c r="F23" s="35">
        <v>1000000</v>
      </c>
      <c r="G23" s="35">
        <v>1000000</v>
      </c>
      <c r="H23" s="35">
        <v>1000000</v>
      </c>
      <c r="I23" s="35">
        <v>1000000</v>
      </c>
      <c r="J23" s="35">
        <v>1000000</v>
      </c>
      <c r="K23" s="35">
        <v>1000000</v>
      </c>
      <c r="L23" s="35">
        <v>1000000</v>
      </c>
      <c r="M23" s="35">
        <v>1000000</v>
      </c>
      <c r="N23" s="35">
        <v>1000000</v>
      </c>
      <c r="O23" s="4"/>
      <c r="P23" s="4"/>
      <c r="Q23" s="4"/>
      <c r="R23" s="4"/>
      <c r="S23" s="4"/>
      <c r="T23" s="4"/>
    </row>
    <row customHeight="true" hidden="true" ht="19" r="24">
      <c r="A24" s="4" t="str">
        <v>Printing Product</v>
      </c>
      <c r="B24" s="4"/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4"/>
      <c r="P24" s="4"/>
      <c r="Q24" s="4"/>
      <c r="R24" s="4"/>
      <c r="S24" s="4"/>
      <c r="T24" s="4"/>
    </row>
    <row customHeight="true" hidden="true" ht="19" r="25">
      <c r="A25" s="4" t="str">
        <v>Marketing Salary</v>
      </c>
      <c r="B25" s="4"/>
      <c r="C25" s="35">
        <f>9000000*110%*9/22</f>
      </c>
      <c r="D25" s="35">
        <f>9000000*110%</f>
      </c>
      <c r="E25" s="35">
        <f>9000000*110%</f>
      </c>
      <c r="F25" s="35">
        <f>9000000*110%</f>
      </c>
      <c r="G25" s="35">
        <f>9000000*110%</f>
      </c>
      <c r="H25" s="35">
        <f>9000000*110%</f>
      </c>
      <c r="I25" s="35">
        <f>9000000*110%</f>
      </c>
      <c r="J25" s="35">
        <f>9000000*110%</f>
      </c>
      <c r="K25" s="35">
        <f>9000000*110%</f>
      </c>
      <c r="L25" s="35">
        <f>9000000*110%</f>
      </c>
      <c r="M25" s="35">
        <f>9000000*110%</f>
      </c>
      <c r="N25" s="35">
        <f>9000000*110%</f>
      </c>
      <c r="O25" s="4"/>
      <c r="P25" s="4"/>
      <c r="Q25" s="4"/>
      <c r="R25" s="4"/>
      <c r="S25" s="4"/>
      <c r="T25" s="4"/>
    </row>
    <row customHeight="true" hidden="true" ht="19" r="26">
      <c r="A26" s="23" t="str">
        <v>Total Marketing Cost</v>
      </c>
      <c r="B26" s="4"/>
      <c r="C26" s="38">
        <f>SUM(C22:C25)</f>
      </c>
      <c r="D26" s="38">
        <f>SUM(D22:D25)</f>
      </c>
      <c r="E26" s="38">
        <f>SUM(E22:E25)</f>
      </c>
      <c r="F26" s="38">
        <f>SUM(F22:F25)</f>
      </c>
      <c r="G26" s="38">
        <f>SUM(G22:G25)</f>
      </c>
      <c r="H26" s="38">
        <f>SUM(H22:H25)</f>
      </c>
      <c r="I26" s="38">
        <f>SUM(I22:I25)</f>
      </c>
      <c r="J26" s="38">
        <f>SUM(J22:J25)</f>
      </c>
      <c r="K26" s="38">
        <f>SUM(K22:K25)</f>
      </c>
      <c r="L26" s="38">
        <f>SUM(L22:L25)</f>
      </c>
      <c r="M26" s="38">
        <f>SUM(M22:M25)</f>
      </c>
      <c r="N26" s="38">
        <f>SUM(N22:N25)</f>
      </c>
      <c r="O26" s="4"/>
      <c r="P26" s="4"/>
      <c r="Q26" s="4"/>
      <c r="R26" s="4"/>
      <c r="S26" s="4"/>
      <c r="T26" s="4"/>
    </row>
    <row customHeight="true" hidden="true" ht="19" r="27">
      <c r="A27" s="4"/>
      <c r="B27" s="4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4"/>
      <c r="P27" s="4"/>
      <c r="Q27" s="4"/>
      <c r="R27" s="4"/>
      <c r="S27" s="4"/>
      <c r="T27" s="4"/>
    </row>
    <row customHeight="true" hidden="true" ht="19" r="28">
      <c r="A28" s="23" t="str">
        <v>GA Cost</v>
      </c>
      <c r="B28" s="4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4"/>
      <c r="P28" s="4"/>
      <c r="Q28" s="4"/>
      <c r="R28" s="4"/>
      <c r="S28" s="4"/>
      <c r="T28" s="4"/>
    </row>
    <row customHeight="true" hidden="true" ht="19" r="29">
      <c r="A29" s="4" t="str">
        <v>Audit &amp; Consulting Services</v>
      </c>
      <c r="B29" s="4"/>
      <c r="C29" s="35">
        <v>1800000</v>
      </c>
      <c r="D29" s="35">
        <v>1800000</v>
      </c>
      <c r="E29" s="35">
        <v>1800000</v>
      </c>
      <c r="F29" s="35">
        <v>3600000</v>
      </c>
      <c r="G29" s="35">
        <v>1800000</v>
      </c>
      <c r="H29" s="35">
        <v>1800000</v>
      </c>
      <c r="I29" s="35">
        <v>1800000</v>
      </c>
      <c r="J29" s="35">
        <v>1800000</v>
      </c>
      <c r="K29" s="35">
        <v>1800000</v>
      </c>
      <c r="L29" s="35">
        <v>1800000</v>
      </c>
      <c r="M29" s="35">
        <v>1800000</v>
      </c>
      <c r="N29" s="35">
        <v>1800000</v>
      </c>
      <c r="O29" s="4"/>
      <c r="P29" s="4"/>
      <c r="Q29" s="4"/>
      <c r="R29" s="4"/>
      <c r="S29" s="4"/>
      <c r="T29" s="4"/>
    </row>
    <row customHeight="true" hidden="true" ht="19" r="30">
      <c r="A30" s="4" t="str">
        <v>Communication Expenses</v>
      </c>
      <c r="B30" s="4"/>
      <c r="C30" s="35">
        <v>500000</v>
      </c>
      <c r="D30" s="35">
        <v>500000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4"/>
      <c r="P30" s="4"/>
      <c r="Q30" s="4"/>
      <c r="R30" s="4"/>
      <c r="S30" s="4"/>
      <c r="T30" s="4"/>
    </row>
    <row customHeight="true" hidden="true" ht="19" r="31">
      <c r="A31" s="4" t="str">
        <v>Insurance</v>
      </c>
      <c r="B31" s="4"/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4"/>
      <c r="P31" s="4"/>
      <c r="Q31" s="4"/>
      <c r="R31" s="4"/>
      <c r="S31" s="4"/>
      <c r="T31" s="4"/>
    </row>
    <row customHeight="true" hidden="true" ht="19" r="32">
      <c r="A32" s="4" t="str">
        <v>IT Supply</v>
      </c>
      <c r="B32" s="4"/>
      <c r="C32" s="35">
        <v>200000</v>
      </c>
      <c r="D32" s="35">
        <v>200000</v>
      </c>
      <c r="E32" s="35">
        <v>200000</v>
      </c>
      <c r="F32" s="35">
        <v>200000</v>
      </c>
      <c r="G32" s="35">
        <v>200000</v>
      </c>
      <c r="H32" s="35">
        <v>200000</v>
      </c>
      <c r="I32" s="35">
        <v>200000</v>
      </c>
      <c r="J32" s="35">
        <v>200000</v>
      </c>
      <c r="K32" s="35">
        <v>200000</v>
      </c>
      <c r="L32" s="35">
        <v>200000</v>
      </c>
      <c r="M32" s="35">
        <v>200000</v>
      </c>
      <c r="N32" s="35">
        <v>200000</v>
      </c>
      <c r="O32" s="4"/>
      <c r="P32" s="4"/>
      <c r="Q32" s="4"/>
      <c r="R32" s="4"/>
      <c r="S32" s="4"/>
      <c r="T32" s="4"/>
    </row>
    <row customHeight="true" hidden="true" ht="19" r="33">
      <c r="A33" s="4" t="str">
        <v>Legal Services</v>
      </c>
      <c r="B33" s="4"/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4"/>
      <c r="P33" s="4"/>
      <c r="Q33" s="4"/>
      <c r="R33" s="4"/>
      <c r="S33" s="4"/>
      <c r="T33" s="4"/>
    </row>
    <row customHeight="true" hidden="true" ht="19" r="34">
      <c r="A34" s="4" t="str">
        <v>Office Expenses</v>
      </c>
      <c r="B34" s="4"/>
      <c r="C34" s="35">
        <f>300000+2200000+700000+500000+800000+500000</f>
      </c>
      <c r="D34" s="35">
        <f>300000+2200000+700000+500000+800000+500000</f>
      </c>
      <c r="E34" s="35">
        <f>300000+2200000+700000+500000+800000+500000</f>
      </c>
      <c r="F34" s="35">
        <f>300000+2200000+700000+500000+800000+500000</f>
      </c>
      <c r="G34" s="35">
        <f>300000+2200000+700000+500000+800000+500000</f>
      </c>
      <c r="H34" s="35">
        <f>300000+2200000+700000+500000+800000+500000</f>
      </c>
      <c r="I34" s="35">
        <f>300000+2200000+700000+500000+800000+500000</f>
      </c>
      <c r="J34" s="35">
        <f>300000+2200000+700000+500000+800000+500000</f>
      </c>
      <c r="K34" s="35">
        <f>300000+2200000+700000+500000+800000+500000</f>
      </c>
      <c r="L34" s="35">
        <f>300000+2200000+700000+500000+800000+500000</f>
      </c>
      <c r="M34" s="35">
        <f>300000+2200000+700000+500000+800000+500000</f>
      </c>
      <c r="N34" s="35">
        <f>300000+2200000+700000+500000+800000+500000</f>
      </c>
      <c r="O34" s="4"/>
      <c r="P34" s="4"/>
      <c r="Q34" s="4"/>
      <c r="R34" s="4"/>
      <c r="S34" s="4"/>
      <c r="T34" s="4"/>
    </row>
    <row customHeight="true" hidden="true" ht="19" r="35">
      <c r="A35" s="4" t="str">
        <v>Travel Expenses</v>
      </c>
      <c r="B35" s="4"/>
      <c r="C35" s="35">
        <v>2000000</v>
      </c>
      <c r="D35" s="35">
        <v>2000000</v>
      </c>
      <c r="E35" s="35">
        <v>2000000</v>
      </c>
      <c r="F35" s="35">
        <v>2000000</v>
      </c>
      <c r="G35" s="35">
        <v>2000000</v>
      </c>
      <c r="H35" s="35">
        <v>2000000</v>
      </c>
      <c r="I35" s="35">
        <v>2000000</v>
      </c>
      <c r="J35" s="35">
        <v>2000000</v>
      </c>
      <c r="K35" s="35">
        <v>2000000</v>
      </c>
      <c r="L35" s="35">
        <v>2000000</v>
      </c>
      <c r="M35" s="35">
        <v>2000000</v>
      </c>
      <c r="N35" s="35">
        <v>2000000</v>
      </c>
      <c r="O35" s="4"/>
      <c r="P35" s="4"/>
      <c r="Q35" s="4"/>
      <c r="R35" s="4"/>
      <c r="S35" s="4"/>
      <c r="T35" s="4"/>
    </row>
    <row customHeight="true" hidden="true" ht="19" r="36">
      <c r="A36" s="4" t="str">
        <v>Salary GA</v>
      </c>
      <c r="B36" s="4"/>
      <c r="C36" s="35">
        <f>114425000*118%</f>
      </c>
      <c r="D36" s="35">
        <f>114425000*118%</f>
      </c>
      <c r="E36" s="35">
        <f>114425000*118%*2-25400000</f>
      </c>
      <c r="F36" s="35">
        <f>114425000*118%</f>
      </c>
      <c r="G36" s="35">
        <f>114425000*118%</f>
      </c>
      <c r="H36" s="35">
        <f>114425000*118%</f>
      </c>
      <c r="I36" s="35">
        <f>114425000*118%</f>
      </c>
      <c r="J36" s="35">
        <f>114425000*118%</f>
      </c>
      <c r="K36" s="35">
        <f>114425000*118%</f>
      </c>
      <c r="L36" s="35">
        <f>114425000*118%</f>
      </c>
      <c r="M36" s="35">
        <f>114425000*118%</f>
      </c>
      <c r="N36" s="35">
        <f>114425000*118%+25400000</f>
      </c>
      <c r="O36" s="4"/>
      <c r="P36" s="4"/>
      <c r="Q36" s="4"/>
      <c r="R36" s="4"/>
      <c r="S36" s="4"/>
      <c r="T36" s="4"/>
    </row>
    <row customHeight="true" hidden="true" ht="19" r="37">
      <c r="A37" s="4" t="str">
        <v>Other GA Cost</v>
      </c>
      <c r="B37" s="4"/>
      <c r="C37" s="35">
        <v>1000000</v>
      </c>
      <c r="D37" s="35">
        <v>1000000</v>
      </c>
      <c r="E37" s="35">
        <v>1000000</v>
      </c>
      <c r="F37" s="35">
        <v>1000000</v>
      </c>
      <c r="G37" s="35">
        <v>1000000</v>
      </c>
      <c r="H37" s="35">
        <v>1000000</v>
      </c>
      <c r="I37" s="35">
        <v>1000000</v>
      </c>
      <c r="J37" s="35">
        <v>1000000</v>
      </c>
      <c r="K37" s="35">
        <v>1000000</v>
      </c>
      <c r="L37" s="35">
        <v>1000000</v>
      </c>
      <c r="M37" s="35">
        <v>1000000</v>
      </c>
      <c r="N37" s="35">
        <v>1000000</v>
      </c>
      <c r="O37" s="4"/>
      <c r="P37" s="4"/>
      <c r="Q37" s="4"/>
      <c r="R37" s="4"/>
      <c r="S37" s="4"/>
      <c r="T37" s="4"/>
    </row>
    <row customHeight="true" hidden="true" ht="19" r="38">
      <c r="A38" s="23" t="str">
        <v>Total GA Cost</v>
      </c>
      <c r="B38" s="4"/>
      <c r="C38" s="38">
        <f>SUM(C29:C37)</f>
      </c>
      <c r="D38" s="38">
        <f>SUM(D29:D37)</f>
      </c>
      <c r="E38" s="38">
        <f>SUM(E29:E37)</f>
      </c>
      <c r="F38" s="38">
        <f>SUM(F29:F37)</f>
      </c>
      <c r="G38" s="38">
        <f>SUM(G29:G37)</f>
      </c>
      <c r="H38" s="38">
        <f>SUM(H29:H37)</f>
      </c>
      <c r="I38" s="38">
        <f>SUM(I29:I37)</f>
      </c>
      <c r="J38" s="38">
        <f>SUM(J29:J37)</f>
      </c>
      <c r="K38" s="38">
        <f>SUM(K29:K37)</f>
      </c>
      <c r="L38" s="38">
        <f>SUM(L29:L37)</f>
      </c>
      <c r="M38" s="38">
        <f>SUM(M29:M37)</f>
      </c>
      <c r="N38" s="38">
        <f>SUM(N29:N37)</f>
      </c>
      <c r="O38" s="4"/>
      <c r="P38" s="4"/>
      <c r="Q38" s="4"/>
      <c r="R38" s="4"/>
      <c r="S38" s="4"/>
      <c r="T38" s="4"/>
    </row>
    <row customHeight="true" hidden="true" ht="19" r="39">
      <c r="A39" s="4"/>
      <c r="B39" s="4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4"/>
      <c r="P39" s="4"/>
      <c r="Q39" s="4"/>
      <c r="R39" s="4"/>
      <c r="S39" s="4"/>
      <c r="T39" s="4"/>
    </row>
    <row customHeight="true" hidden="true" ht="19" r="40">
      <c r="A40" s="23" t="str">
        <v>PL Before Tax</v>
      </c>
      <c r="B40" s="4"/>
      <c r="C40" s="38">
        <f>C19-C26-C38</f>
      </c>
      <c r="D40" s="38">
        <f>D19-D26-D38</f>
      </c>
      <c r="E40" s="38">
        <f>E19-E26-E38</f>
      </c>
      <c r="F40" s="38">
        <f>F19-F26-F38</f>
      </c>
      <c r="G40" s="38">
        <f>G19-G26-G38</f>
      </c>
      <c r="H40" s="38">
        <f>H19-H26-H38</f>
      </c>
      <c r="I40" s="38">
        <f>I19-I26-I38</f>
      </c>
      <c r="J40" s="38">
        <f>J19-J26-J38</f>
      </c>
      <c r="K40" s="38">
        <f>K19-K26-K38</f>
      </c>
      <c r="L40" s="38">
        <f>L19-L26-L38</f>
      </c>
      <c r="M40" s="38">
        <f>M19-M26-M38</f>
      </c>
      <c r="N40" s="38">
        <f>N19-N26-N38</f>
      </c>
      <c r="O40" s="4"/>
      <c r="P40" s="4"/>
      <c r="Q40" s="4"/>
      <c r="R40" s="4"/>
      <c r="S40" s="4"/>
      <c r="T40" s="4"/>
    </row>
    <row customHeight="true" hidden="true" ht="19" r="41">
      <c r="A41" s="4"/>
      <c r="B41" s="4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4"/>
      <c r="P41" s="4"/>
      <c r="Q41" s="4"/>
      <c r="R41" s="4"/>
      <c r="S41" s="4"/>
      <c r="T41" s="4"/>
    </row>
    <row customHeight="true" hidden="true" ht="19" r="42">
      <c r="A42" s="23" t="str">
        <v>Taxes</v>
      </c>
      <c r="B42" s="4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4"/>
      <c r="P42" s="4"/>
      <c r="Q42" s="4"/>
      <c r="R42" s="4"/>
      <c r="S42" s="4"/>
      <c r="T42" s="4"/>
    </row>
    <row customHeight="true" hidden="true" ht="19" r="43">
      <c r="A43" s="4" t="str">
        <v>- WHT 23</v>
      </c>
      <c r="B43" s="4"/>
      <c r="C43" s="35">
        <f>C6*60%*2%</f>
      </c>
      <c r="D43" s="35">
        <f>D6*60%*2%</f>
      </c>
      <c r="E43" s="35">
        <f>E6*60%*2%</f>
      </c>
      <c r="F43" s="35">
        <f>F6*60%*2%</f>
      </c>
      <c r="G43" s="35">
        <f>G6*60%*2%</f>
      </c>
      <c r="H43" s="35">
        <f>H6*60%*2%</f>
      </c>
      <c r="I43" s="35">
        <f>I6*60%*2%</f>
      </c>
      <c r="J43" s="35">
        <f>J6*60%*2%</f>
      </c>
      <c r="K43" s="35">
        <f>K6*60%*2%</f>
      </c>
      <c r="L43" s="35">
        <f>L6*60%*2%</f>
      </c>
      <c r="M43" s="35">
        <f>M6*60%*2%</f>
      </c>
      <c r="N43" s="35">
        <f>N6*60%*2%</f>
      </c>
      <c r="O43" s="4"/>
      <c r="P43" s="4"/>
      <c r="Q43" s="4"/>
      <c r="R43" s="4"/>
      <c r="S43" s="4"/>
      <c r="T43" s="4"/>
    </row>
    <row customHeight="true" hidden="true" ht="19" r="44">
      <c r="A44" s="4" t="str">
        <v>- Tax Income</v>
      </c>
      <c r="B44" s="4"/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f>IF(SUM(C40:N40)&lt;=0,0,SUM(C40:N40)*22%)</f>
      </c>
      <c r="O44" s="4"/>
      <c r="P44" s="4"/>
      <c r="Q44" s="4"/>
      <c r="R44" s="4"/>
      <c r="S44" s="4"/>
      <c r="T44" s="4"/>
    </row>
    <row customHeight="true" hidden="true" ht="19" r="45">
      <c r="A45" s="23" t="str">
        <v>Total Tax</v>
      </c>
      <c r="B45" s="4"/>
      <c r="C45" s="38">
        <f>SUM(C43:C44)</f>
      </c>
      <c r="D45" s="38">
        <f>SUM(D43:D44)</f>
      </c>
      <c r="E45" s="38">
        <f>SUM(E43:E44)</f>
      </c>
      <c r="F45" s="38">
        <f>SUM(F43:F44)</f>
      </c>
      <c r="G45" s="38">
        <f>SUM(G43:G44)</f>
      </c>
      <c r="H45" s="38">
        <f>SUM(H43:H44)</f>
      </c>
      <c r="I45" s="38">
        <f>SUM(I43:I44)</f>
      </c>
      <c r="J45" s="38">
        <f>SUM(J43:J44)</f>
      </c>
      <c r="K45" s="38">
        <f>SUM(K43:K44)</f>
      </c>
      <c r="L45" s="38">
        <f>SUM(L43:L44)</f>
      </c>
      <c r="M45" s="38">
        <f>SUM(M43:M44)</f>
      </c>
      <c r="N45" s="38">
        <f>SUM(N43:N44)</f>
      </c>
      <c r="O45" s="4"/>
      <c r="P45" s="4"/>
      <c r="Q45" s="4"/>
      <c r="R45" s="4"/>
      <c r="S45" s="4"/>
      <c r="T45" s="4"/>
    </row>
    <row customHeight="true" hidden="true" ht="19" r="46">
      <c r="A46" s="4"/>
      <c r="B46" s="4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4"/>
      <c r="P46" s="4"/>
      <c r="Q46" s="4"/>
      <c r="R46" s="4"/>
      <c r="S46" s="4"/>
      <c r="T46" s="4"/>
    </row>
    <row customHeight="true" hidden="true" ht="19" r="47">
      <c r="A47" s="23" t="str">
        <v>PL After Tax</v>
      </c>
      <c r="B47" s="4"/>
      <c r="C47" s="38">
        <f>C40-C45</f>
      </c>
      <c r="D47" s="38">
        <f>D40-D45</f>
      </c>
      <c r="E47" s="38">
        <f>E40-E45</f>
      </c>
      <c r="F47" s="38">
        <f>F40-F45</f>
      </c>
      <c r="G47" s="38">
        <f>G40-G45</f>
      </c>
      <c r="H47" s="38">
        <f>H40-H45</f>
      </c>
      <c r="I47" s="38">
        <f>I40-I45</f>
      </c>
      <c r="J47" s="38">
        <f>J40-J45</f>
      </c>
      <c r="K47" s="38">
        <f>K40-K45</f>
      </c>
      <c r="L47" s="38">
        <f>L40-L45</f>
      </c>
      <c r="M47" s="38">
        <f>M40-M45</f>
      </c>
      <c r="N47" s="38">
        <f>N40-N45</f>
      </c>
      <c r="O47" s="35">
        <f>SUM(C47:N47)</f>
      </c>
      <c r="P47" s="4"/>
      <c r="Q47" s="4"/>
      <c r="R47" s="4"/>
      <c r="S47" s="4"/>
      <c r="T47" s="4"/>
    </row>
    <row customHeight="true" hidden="true" ht="19" r="48">
      <c r="A48" s="4"/>
      <c r="B48" s="4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4"/>
      <c r="P48" s="4"/>
      <c r="Q48" s="4"/>
      <c r="R48" s="4"/>
      <c r="S48" s="4"/>
      <c r="T48" s="4"/>
    </row>
    <row customHeight="true" hidden="true" ht="19" r="49">
      <c r="A49" s="23" t="str">
        <v>Without Infrastructure</v>
      </c>
      <c r="B49" s="4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4"/>
      <c r="P49" s="4"/>
      <c r="Q49" s="4"/>
      <c r="R49" s="4"/>
      <c r="S49" s="4"/>
      <c r="T49" s="4"/>
    </row>
    <row customHeight="true" hidden="true" ht="19" r="50">
      <c r="A50" s="23" t="str">
        <v>PL Before Tax</v>
      </c>
      <c r="B50" s="4"/>
      <c r="C50" s="38">
        <f>C40+C13</f>
      </c>
      <c r="D50" s="38">
        <f>D40+D13</f>
      </c>
      <c r="E50" s="38">
        <f>E40+E13</f>
      </c>
      <c r="F50" s="38">
        <f>F40+F13</f>
      </c>
      <c r="G50" s="38">
        <f>G40+G13</f>
      </c>
      <c r="H50" s="38">
        <f>H40+H13</f>
      </c>
      <c r="I50" s="38">
        <f>I40+I13</f>
      </c>
      <c r="J50" s="38">
        <f>J40+J13</f>
      </c>
      <c r="K50" s="38">
        <f>K40+K13</f>
      </c>
      <c r="L50" s="38">
        <f>L40+L13</f>
      </c>
      <c r="M50" s="38">
        <f>M40+M13</f>
      </c>
      <c r="N50" s="38">
        <f>N40+N13</f>
      </c>
      <c r="O50" s="36">
        <f>SUM(C50:N50)</f>
      </c>
      <c r="P50" s="4"/>
      <c r="Q50" s="4"/>
      <c r="R50" s="4"/>
      <c r="S50" s="4"/>
      <c r="T50" s="4"/>
    </row>
    <row customHeight="true" hidden="true" ht="19" r="51">
      <c r="A51" s="4"/>
      <c r="B51" s="4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4"/>
      <c r="P51" s="4"/>
      <c r="Q51" s="4"/>
      <c r="R51" s="4"/>
      <c r="S51" s="4"/>
      <c r="T51" s="4"/>
    </row>
    <row customHeight="true" hidden="true" ht="19" r="52">
      <c r="A52" s="23" t="str">
        <v>Taxes</v>
      </c>
      <c r="B52" s="4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4"/>
      <c r="P52" s="4"/>
      <c r="Q52" s="4"/>
      <c r="R52" s="4"/>
      <c r="S52" s="4"/>
      <c r="T52" s="4"/>
    </row>
    <row customHeight="true" hidden="true" ht="19" r="53">
      <c r="A53" s="4" t="str">
        <v>- WHT 23</v>
      </c>
      <c r="B53" s="4"/>
      <c r="C53" s="35">
        <f>C6*60%*2%</f>
      </c>
      <c r="D53" s="35">
        <f>D6*60%*2%</f>
      </c>
      <c r="E53" s="35">
        <f>E6*60%*2%</f>
      </c>
      <c r="F53" s="35">
        <f>F6*60%*2%</f>
      </c>
      <c r="G53" s="35">
        <f>G6*60%*2%</f>
      </c>
      <c r="H53" s="35">
        <f>H6*60%*2%</f>
      </c>
      <c r="I53" s="35">
        <f>I6*60%*2%</f>
      </c>
      <c r="J53" s="35">
        <f>J6*60%*2%</f>
      </c>
      <c r="K53" s="35">
        <f>K6*60%*2%</f>
      </c>
      <c r="L53" s="35">
        <f>L6*60%*2%</f>
      </c>
      <c r="M53" s="35">
        <f>M6*60%*2%</f>
      </c>
      <c r="N53" s="35">
        <f>N6*60%*2%</f>
      </c>
      <c r="O53" s="4"/>
      <c r="P53" s="4"/>
      <c r="Q53" s="4"/>
      <c r="R53" s="4"/>
      <c r="S53" s="4"/>
      <c r="T53" s="4"/>
    </row>
    <row customHeight="true" hidden="true" ht="19" r="54">
      <c r="A54" s="4" t="str">
        <v>- Tax Income</v>
      </c>
      <c r="B54" s="4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5">
        <f>IF(SUM(C50:N50)&lt;=0,0,SUM(C50:N50)*22%)</f>
      </c>
      <c r="O54" s="4"/>
      <c r="P54" s="4"/>
      <c r="Q54" s="4"/>
      <c r="R54" s="4"/>
      <c r="S54" s="4"/>
      <c r="T54" s="4"/>
    </row>
    <row customHeight="true" hidden="true" ht="19" r="55">
      <c r="A55" s="23" t="str">
        <v>Total Tax</v>
      </c>
      <c r="B55" s="4"/>
      <c r="C55" s="38">
        <f>SUM(C53:C54)</f>
      </c>
      <c r="D55" s="38">
        <f>SUM(D53:D54)</f>
      </c>
      <c r="E55" s="38">
        <f>SUM(E53:E54)</f>
      </c>
      <c r="F55" s="38">
        <f>SUM(F53:F54)</f>
      </c>
      <c r="G55" s="38">
        <f>SUM(G53:G54)</f>
      </c>
      <c r="H55" s="38">
        <f>SUM(H53:H54)</f>
      </c>
      <c r="I55" s="38">
        <f>SUM(I53:I54)</f>
      </c>
      <c r="J55" s="38">
        <f>SUM(J53:J54)</f>
      </c>
      <c r="K55" s="38">
        <f>SUM(K53:K54)</f>
      </c>
      <c r="L55" s="38">
        <f>SUM(L53:L54)</f>
      </c>
      <c r="M55" s="38">
        <f>SUM(M53:M54)</f>
      </c>
      <c r="N55" s="38">
        <f>SUM(N53:N54)</f>
      </c>
      <c r="O55" s="4"/>
      <c r="P55" s="4"/>
      <c r="Q55" s="4"/>
      <c r="R55" s="4"/>
      <c r="S55" s="4"/>
      <c r="T55" s="4"/>
    </row>
    <row customHeight="true" hidden="true" ht="19" r="56">
      <c r="A56" s="4"/>
      <c r="B56" s="4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4"/>
      <c r="P56" s="4"/>
      <c r="Q56" s="4"/>
      <c r="R56" s="4"/>
      <c r="S56" s="4"/>
      <c r="T56" s="4"/>
    </row>
    <row customHeight="true" hidden="true" ht="19" r="57">
      <c r="A57" s="23" t="str">
        <v>PL After Tax</v>
      </c>
      <c r="B57" s="4"/>
      <c r="C57" s="38">
        <f>C50-C55</f>
      </c>
      <c r="D57" s="38">
        <f>D50-D55</f>
      </c>
      <c r="E57" s="38">
        <f>E50-E55</f>
      </c>
      <c r="F57" s="38">
        <f>F50-F55</f>
      </c>
      <c r="G57" s="38">
        <f>G50-G55</f>
      </c>
      <c r="H57" s="38">
        <f>H50-H55</f>
      </c>
      <c r="I57" s="38">
        <f>I50-I55</f>
      </c>
      <c r="J57" s="38">
        <f>J50-J55</f>
      </c>
      <c r="K57" s="38">
        <f>K50-K55</f>
      </c>
      <c r="L57" s="38">
        <f>L50-L55</f>
      </c>
      <c r="M57" s="38">
        <f>M50-M55</f>
      </c>
      <c r="N57" s="38">
        <f>N50-N55</f>
      </c>
      <c r="O57" s="4"/>
      <c r="P57" s="4"/>
      <c r="Q57" s="4"/>
      <c r="R57" s="4"/>
      <c r="S57" s="4"/>
      <c r="T57" s="4"/>
    </row>
    <row customHeight="true" hidden="true" ht="19" r="58">
      <c r="A58" s="4"/>
      <c r="B58" s="4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4"/>
      <c r="P58" s="4"/>
      <c r="Q58" s="4"/>
      <c r="R58" s="4"/>
      <c r="S58" s="4"/>
      <c r="T58" s="4"/>
    </row>
    <row customHeight="true" hidden="true" ht="19" r="59">
      <c r="A59" s="4"/>
      <c r="B59" s="4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4"/>
      <c r="P59" s="4"/>
      <c r="Q59" s="4"/>
      <c r="R59" s="4"/>
      <c r="S59" s="4"/>
      <c r="T59" s="4"/>
    </row>
    <row customHeight="true" ht="19" r="60">
      <c r="A60" s="4"/>
      <c r="B60" s="4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4"/>
      <c r="P60" s="4"/>
      <c r="Q60" s="4"/>
      <c r="R60" s="4"/>
      <c r="S60" s="4"/>
      <c r="T60" s="4"/>
    </row>
    <row customHeight="true" ht="19" r="61">
      <c r="A61" s="4"/>
      <c r="B61" s="4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4"/>
      <c r="P61" s="4"/>
      <c r="Q61" s="4"/>
      <c r="R61" s="4"/>
      <c r="S61" s="4"/>
      <c r="T61" s="4"/>
    </row>
    <row customHeight="true" ht="19" r="62">
      <c r="A62" s="43" t="str">
        <v>With Tiktok Projection</v>
      </c>
      <c r="B62" s="43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2"/>
      <c r="P62" s="42"/>
      <c r="Q62" s="42"/>
      <c r="R62" s="42"/>
      <c r="S62" s="42"/>
      <c r="T62" s="42"/>
    </row>
    <row customHeight="true" ht="19" r="63">
      <c r="A63" s="4"/>
      <c r="B63" s="23" t="str">
        <v>%</v>
      </c>
      <c r="C63" s="30" t="str">
        <v>Jan'26</v>
      </c>
      <c r="D63" s="30" t="str">
        <v>Feb'26</v>
      </c>
      <c r="E63" s="30" t="str">
        <v>Mar'26</v>
      </c>
      <c r="F63" s="30" t="str">
        <v>Apr'26</v>
      </c>
      <c r="G63" s="30" t="str">
        <v>May'26</v>
      </c>
      <c r="H63" s="30" t="str">
        <v>Jun'26</v>
      </c>
      <c r="I63" s="30" t="str">
        <v>Jul'26</v>
      </c>
      <c r="J63" s="30" t="str">
        <v>Aug'26</v>
      </c>
      <c r="K63" s="30" t="str">
        <v>Sep'26</v>
      </c>
      <c r="L63" s="30" t="str">
        <v>Oct'25</v>
      </c>
      <c r="M63" s="30" t="str">
        <v>Nov'26</v>
      </c>
      <c r="N63" s="30" t="str">
        <v>Des'26</v>
      </c>
      <c r="O63" s="4"/>
      <c r="P63" s="4"/>
      <c r="Q63" s="4"/>
      <c r="R63" s="4"/>
      <c r="S63" s="4"/>
      <c r="T63" s="4"/>
    </row>
    <row customHeight="true" ht="19" r="64">
      <c r="A64" s="23" t="str">
        <v>Deliveries</v>
      </c>
      <c r="B64" s="4"/>
      <c r="C64" s="38">
        <f>'Client Forecast'!B57</f>
      </c>
      <c r="D64" s="38">
        <f>'Client Forecast'!C57</f>
      </c>
      <c r="E64" s="38">
        <f>'Client Forecast'!D57</f>
      </c>
      <c r="F64" s="38">
        <f>'Client Forecast'!E57</f>
      </c>
      <c r="G64" s="38">
        <f>'Client Forecast'!F57</f>
      </c>
      <c r="H64" s="38">
        <f>'Client Forecast'!G57</f>
      </c>
      <c r="I64" s="38">
        <f>'Client Forecast'!H57</f>
      </c>
      <c r="J64" s="38">
        <f>'Client Forecast'!I57</f>
      </c>
      <c r="K64" s="38">
        <f>'Client Forecast'!J57</f>
      </c>
      <c r="L64" s="38">
        <f>'Client Forecast'!K57</f>
      </c>
      <c r="M64" s="38">
        <f>'Client Forecast'!L57</f>
      </c>
      <c r="N64" s="38">
        <f>'Client Forecast'!M57</f>
      </c>
      <c r="O64" s="4"/>
      <c r="P64" s="4"/>
      <c r="Q64" s="4"/>
      <c r="R64" s="4"/>
      <c r="S64" s="4"/>
      <c r="T64" s="4"/>
    </row>
    <row customHeight="true" ht="19" r="65">
      <c r="A65" s="4" t="str">
        <v>ADV</v>
      </c>
      <c r="B65" s="4"/>
      <c r="C65" s="35">
        <v>16500</v>
      </c>
      <c r="D65" s="35">
        <f>(18000+10000)/2</f>
      </c>
      <c r="E65" s="35">
        <v>14500</v>
      </c>
      <c r="F65" s="35">
        <f>(16000+10000)/2</f>
      </c>
      <c r="G65" s="35">
        <f>(16000+10000)/2</f>
      </c>
      <c r="H65" s="35">
        <f>(16000+10000)/2</f>
      </c>
      <c r="I65" s="35">
        <f>(16000+10000)/2</f>
      </c>
      <c r="J65" s="35">
        <f>(16000+10000)/2</f>
      </c>
      <c r="K65" s="35">
        <f>(16000+10000)/2</f>
      </c>
      <c r="L65" s="35">
        <f>(16000+10000)/2</f>
      </c>
      <c r="M65" s="35">
        <f>(16000+10000)/2</f>
      </c>
      <c r="N65" s="35">
        <v>16500</v>
      </c>
      <c r="O65" s="4"/>
      <c r="P65" s="4"/>
      <c r="Q65" s="4"/>
      <c r="R65" s="4"/>
      <c r="S65" s="4"/>
      <c r="T65" s="4"/>
    </row>
    <row customHeight="true" ht="19" r="66">
      <c r="A66" s="4"/>
      <c r="B66" s="4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4"/>
      <c r="P66" s="4"/>
      <c r="Q66" s="4"/>
      <c r="R66" s="4"/>
      <c r="S66" s="4"/>
      <c r="T66" s="4"/>
    </row>
    <row customHeight="true" ht="19" r="67">
      <c r="A67" s="23" t="str">
        <v>GMV</v>
      </c>
      <c r="B67" s="4"/>
      <c r="C67" s="38">
        <f>C64*C65</f>
      </c>
      <c r="D67" s="38">
        <f>D64*D65</f>
      </c>
      <c r="E67" s="38">
        <f>E64*E65</f>
      </c>
      <c r="F67" s="38">
        <f>F64*F65</f>
      </c>
      <c r="G67" s="38">
        <f>G64*G65</f>
      </c>
      <c r="H67" s="38">
        <f>H64*H65</f>
      </c>
      <c r="I67" s="38">
        <f>I64*I65</f>
      </c>
      <c r="J67" s="38">
        <f>J64*J65</f>
      </c>
      <c r="K67" s="38">
        <f>K64*K65</f>
      </c>
      <c r="L67" s="38">
        <f>L64*L65</f>
      </c>
      <c r="M67" s="38">
        <f>M64*M65</f>
      </c>
      <c r="N67" s="38">
        <f>N64*N65</f>
      </c>
      <c r="O67" s="4"/>
      <c r="P67" s="4"/>
      <c r="Q67" s="4"/>
      <c r="R67" s="4"/>
      <c r="S67" s="4"/>
      <c r="T67" s="4"/>
    </row>
    <row customHeight="true" ht="19" r="68">
      <c r="A68" s="4" t="str">
        <v>Couriers Cost</v>
      </c>
      <c r="B68" s="44">
        <v>0.78</v>
      </c>
      <c r="C68" s="35">
        <f>C67*$B$7</f>
      </c>
      <c r="D68" s="35">
        <f>D67*$B$7</f>
      </c>
      <c r="E68" s="35">
        <f>E67*$B$7</f>
      </c>
      <c r="F68" s="35">
        <f>F67*$B$7</f>
      </c>
      <c r="G68" s="35">
        <f>G67*$B$7</f>
      </c>
      <c r="H68" s="35">
        <f>H67*$B$7</f>
      </c>
      <c r="I68" s="35">
        <f>I67*$B$7</f>
      </c>
      <c r="J68" s="35">
        <f>J67*$B$7</f>
      </c>
      <c r="K68" s="35">
        <f>K67*$B$7</f>
      </c>
      <c r="L68" s="35">
        <f>L67*$B$7</f>
      </c>
      <c r="M68" s="35">
        <f>M67*$B$7</f>
      </c>
      <c r="N68" s="35">
        <f>N67*$B$7</f>
      </c>
      <c r="O68" s="4"/>
      <c r="P68" s="4"/>
      <c r="Q68" s="4"/>
      <c r="R68" s="4"/>
      <c r="S68" s="4"/>
      <c r="T68" s="4"/>
    </row>
    <row customHeight="true" ht="19" r="69">
      <c r="A69" s="4"/>
      <c r="B69" s="4"/>
      <c r="C69" s="36"/>
      <c r="D69" s="37">
        <f>(D67-C67)/C67</f>
      </c>
      <c r="E69" s="37">
        <f>(E67-D67)/D67</f>
      </c>
      <c r="F69" s="37">
        <f>(F67-E67)/E67</f>
      </c>
      <c r="G69" s="37">
        <f>(G67-F67)/F67</f>
      </c>
      <c r="H69" s="37">
        <f>(H67-G67)/G67</f>
      </c>
      <c r="I69" s="37">
        <f>(I67-H67)/H67</f>
      </c>
      <c r="J69" s="37">
        <f>(J67-I67)/I67</f>
      </c>
      <c r="K69" s="37">
        <f>(K67-J67)/J67</f>
      </c>
      <c r="L69" s="37">
        <f>(L67-K67)/K67</f>
      </c>
      <c r="M69" s="37">
        <f>(M67-L67)/L67</f>
      </c>
      <c r="N69" s="37">
        <f>(N67-M67)/M67</f>
      </c>
      <c r="O69" s="4"/>
      <c r="P69" s="4"/>
      <c r="Q69" s="4"/>
      <c r="R69" s="4"/>
      <c r="S69" s="4"/>
      <c r="T69" s="4"/>
    </row>
    <row customHeight="true" ht="19" r="70">
      <c r="A70" s="23" t="str">
        <v>Gross Margin</v>
      </c>
      <c r="B70" s="4"/>
      <c r="C70" s="38">
        <f>C67-C68</f>
      </c>
      <c r="D70" s="38">
        <f>D67-D68</f>
      </c>
      <c r="E70" s="38">
        <f>E67-E68</f>
      </c>
      <c r="F70" s="38">
        <f>F67-F68</f>
      </c>
      <c r="G70" s="38">
        <f>G67-G68</f>
      </c>
      <c r="H70" s="38">
        <f>H67-H68</f>
      </c>
      <c r="I70" s="38">
        <f>I67-I68</f>
      </c>
      <c r="J70" s="38">
        <f>J67-J68</f>
      </c>
      <c r="K70" s="38">
        <f>K67-K68</f>
      </c>
      <c r="L70" s="38">
        <f>L67-L68</f>
      </c>
      <c r="M70" s="38">
        <f>M67-M68</f>
      </c>
      <c r="N70" s="38">
        <f>N67-N68</f>
      </c>
      <c r="O70" s="4"/>
      <c r="P70" s="4"/>
      <c r="Q70" s="4"/>
      <c r="R70" s="4"/>
      <c r="S70" s="4"/>
      <c r="T70" s="4"/>
    </row>
    <row customHeight="true" ht="19" r="71">
      <c r="A71" s="4"/>
      <c r="B71" s="4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4"/>
      <c r="P71" s="4"/>
      <c r="Q71" s="4"/>
      <c r="R71" s="4"/>
      <c r="S71" s="4"/>
      <c r="T71" s="4"/>
    </row>
    <row customHeight="true" ht="19" r="72">
      <c r="A72" s="23" t="str">
        <v>OS Cost</v>
      </c>
      <c r="B72" s="4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4"/>
      <c r="P72" s="4"/>
      <c r="Q72" s="4"/>
      <c r="R72" s="4"/>
      <c r="S72" s="4"/>
      <c r="T72" s="4"/>
    </row>
    <row customHeight="true" ht="19" r="73">
      <c r="A73" s="4" t="str">
        <v>Bank Fee</v>
      </c>
      <c r="B73" s="45">
        <v>0.004</v>
      </c>
      <c r="C73" s="35">
        <f>$B$12*C67</f>
      </c>
      <c r="D73" s="35">
        <f>$B$12*D67</f>
      </c>
      <c r="E73" s="35">
        <f>$B$12*E67</f>
      </c>
      <c r="F73" s="35">
        <f>$B$12*F67</f>
      </c>
      <c r="G73" s="35">
        <f>$B$12*G67</f>
      </c>
      <c r="H73" s="35">
        <f>$B$12*H67</f>
      </c>
      <c r="I73" s="35">
        <f>$B$12*I67</f>
      </c>
      <c r="J73" s="35">
        <f>$B$12*J67</f>
      </c>
      <c r="K73" s="35">
        <f>$B$12*K67</f>
      </c>
      <c r="L73" s="35">
        <f>$B$12*L67</f>
      </c>
      <c r="M73" s="35">
        <f>$B$12*M67</f>
      </c>
      <c r="N73" s="35">
        <f>$B$12*N67</f>
      </c>
      <c r="O73" s="4"/>
      <c r="P73" s="4"/>
      <c r="Q73" s="4"/>
      <c r="R73" s="4"/>
      <c r="S73" s="4"/>
      <c r="T73" s="4"/>
    </row>
    <row customHeight="true" ht="19" r="74">
      <c r="A74" s="4" t="str">
        <v>Infrastructure + IT Support</v>
      </c>
      <c r="B74" s="4" t="str">
        <v>USD 14.070</v>
      </c>
      <c r="C74" s="35">
        <f>14070*16700</f>
      </c>
      <c r="D74" s="35">
        <f>14070*16700</f>
      </c>
      <c r="E74" s="35">
        <f>14070*16700</f>
      </c>
      <c r="F74" s="35">
        <f>14070*16700</f>
      </c>
      <c r="G74" s="35">
        <f>14070*16700</f>
      </c>
      <c r="H74" s="35">
        <f>14070*16700</f>
      </c>
      <c r="I74" s="35">
        <f>14070*16700</f>
      </c>
      <c r="J74" s="35">
        <f>14070*16700</f>
      </c>
      <c r="K74" s="35">
        <f>14070*16700</f>
      </c>
      <c r="L74" s="35">
        <f>14070*16700</f>
      </c>
      <c r="M74" s="35">
        <f>14070*16700</f>
      </c>
      <c r="N74" s="35">
        <f>14070*16700</f>
      </c>
      <c r="O74" s="4"/>
      <c r="P74" s="4"/>
      <c r="Q74" s="4"/>
      <c r="R74" s="4"/>
      <c r="S74" s="4"/>
      <c r="T74" s="4"/>
    </row>
    <row customHeight="true" ht="19" r="75">
      <c r="A75" s="4" t="str">
        <v>Loss from fraud,incident</v>
      </c>
      <c r="B75" s="37">
        <v>0.000003</v>
      </c>
      <c r="C75" s="35">
        <f>$B$14*C67</f>
      </c>
      <c r="D75" s="35">
        <f>$B$14*D67</f>
      </c>
      <c r="E75" s="35">
        <f>$B$14*E67</f>
      </c>
      <c r="F75" s="35">
        <f>$B$14*F67</f>
      </c>
      <c r="G75" s="35">
        <f>$B$14*G67</f>
      </c>
      <c r="H75" s="35">
        <f>$B$14*H67</f>
      </c>
      <c r="I75" s="35">
        <f>$B$14*I67</f>
      </c>
      <c r="J75" s="35">
        <f>$B$14*J67</f>
      </c>
      <c r="K75" s="35">
        <f>$B$14*K67</f>
      </c>
      <c r="L75" s="35">
        <f>$B$14*L67</f>
      </c>
      <c r="M75" s="35">
        <f>$B$14*M67</f>
      </c>
      <c r="N75" s="35">
        <f>$B$14*N67</f>
      </c>
      <c r="O75" s="4"/>
      <c r="P75" s="4"/>
      <c r="Q75" s="4"/>
      <c r="R75" s="4"/>
      <c r="S75" s="4"/>
      <c r="T75" s="4"/>
    </row>
    <row customHeight="true" ht="19" r="76">
      <c r="A76" s="4" t="str">
        <v>Salary - OS team</v>
      </c>
      <c r="B76" s="4"/>
      <c r="C76" s="35">
        <f>82200000*118%</f>
      </c>
      <c r="D76" s="35">
        <f>82200000*118%</f>
      </c>
      <c r="E76" s="35">
        <f>82200000*118%*2</f>
      </c>
      <c r="F76" s="35">
        <f>82200000*118%</f>
      </c>
      <c r="G76" s="35">
        <f>82200000*118%</f>
      </c>
      <c r="H76" s="35">
        <f>82200000*118%</f>
      </c>
      <c r="I76" s="35">
        <f>82200000*118%</f>
      </c>
      <c r="J76" s="35">
        <f>82200000*118%</f>
      </c>
      <c r="K76" s="35">
        <f>82200000*118%</f>
      </c>
      <c r="L76" s="35">
        <f>82200000*118%</f>
      </c>
      <c r="M76" s="35">
        <f>82200000*118%</f>
      </c>
      <c r="N76" s="35">
        <f>82200000*118%</f>
      </c>
      <c r="O76" s="4"/>
      <c r="P76" s="4"/>
      <c r="Q76" s="4"/>
      <c r="R76" s="4"/>
      <c r="S76" s="4"/>
      <c r="T76" s="4"/>
    </row>
    <row customHeight="true" ht="19" r="77">
      <c r="A77" s="4" t="str">
        <v>Other OS cost</v>
      </c>
      <c r="B77" s="4"/>
      <c r="C77" s="35">
        <f>150000*27*3</f>
      </c>
      <c r="D77" s="35">
        <f>150000*27*3</f>
      </c>
      <c r="E77" s="35">
        <f>150000*27*3</f>
      </c>
      <c r="F77" s="35">
        <f>150000*27*3</f>
      </c>
      <c r="G77" s="35">
        <f>150000*27*3</f>
      </c>
      <c r="H77" s="35">
        <f>150000*27*3</f>
      </c>
      <c r="I77" s="35">
        <f>150000*27*3</f>
      </c>
      <c r="J77" s="35">
        <f>150000*27*3</f>
      </c>
      <c r="K77" s="35">
        <f>150000*27*3</f>
      </c>
      <c r="L77" s="35">
        <f>150000*27*3</f>
      </c>
      <c r="M77" s="35">
        <f>150000*27*3</f>
      </c>
      <c r="N77" s="35">
        <f>150000*27*3</f>
      </c>
      <c r="O77" s="4"/>
      <c r="P77" s="4"/>
      <c r="Q77" s="4"/>
      <c r="R77" s="4"/>
      <c r="S77" s="4"/>
      <c r="T77" s="4"/>
    </row>
    <row customHeight="true" ht="19" r="78">
      <c r="A78" s="23" t="str">
        <v>Total OS Cost</v>
      </c>
      <c r="B78" s="4"/>
      <c r="C78" s="38">
        <f>SUM(C73:C77)</f>
      </c>
      <c r="D78" s="38">
        <f>SUM(D73:D77)</f>
      </c>
      <c r="E78" s="38">
        <f>SUM(E73:E77)</f>
      </c>
      <c r="F78" s="38">
        <f>SUM(F73:F77)</f>
      </c>
      <c r="G78" s="38">
        <f>SUM(G73:G77)</f>
      </c>
      <c r="H78" s="38">
        <f>SUM(H73:H77)</f>
      </c>
      <c r="I78" s="38">
        <f>SUM(I73:I77)</f>
      </c>
      <c r="J78" s="38">
        <f>SUM(J73:J77)</f>
      </c>
      <c r="K78" s="38">
        <f>SUM(K73:K77)</f>
      </c>
      <c r="L78" s="38">
        <f>SUM(L73:L77)</f>
      </c>
      <c r="M78" s="38">
        <f>SUM(M73:M77)</f>
      </c>
      <c r="N78" s="38">
        <f>SUM(N73:N77)</f>
      </c>
      <c r="O78" s="4"/>
      <c r="P78" s="4"/>
      <c r="Q78" s="4"/>
      <c r="R78" s="4"/>
      <c r="S78" s="4"/>
      <c r="T78" s="4"/>
    </row>
    <row customHeight="true" ht="19" r="79">
      <c r="A79" s="4"/>
      <c r="B79" s="4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4"/>
      <c r="P79" s="4"/>
      <c r="Q79" s="4"/>
      <c r="R79" s="4"/>
      <c r="S79" s="4"/>
      <c r="T79" s="4"/>
    </row>
    <row customHeight="true" ht="19" r="80">
      <c r="A80" s="23" t="str">
        <v>Margin After Operating</v>
      </c>
      <c r="B80" s="4"/>
      <c r="C80" s="38">
        <f>C70-C78</f>
      </c>
      <c r="D80" s="38">
        <f>D70-D78</f>
      </c>
      <c r="E80" s="38">
        <f>E70-E78</f>
      </c>
      <c r="F80" s="38">
        <f>F70-F78</f>
      </c>
      <c r="G80" s="38">
        <f>G70-G78</f>
      </c>
      <c r="H80" s="38">
        <f>H70-H78</f>
      </c>
      <c r="I80" s="38">
        <f>I70-I78</f>
      </c>
      <c r="J80" s="38">
        <f>J70-J78</f>
      </c>
      <c r="K80" s="38">
        <f>K70-K78</f>
      </c>
      <c r="L80" s="38">
        <f>L70-L78</f>
      </c>
      <c r="M80" s="38">
        <f>M70-M78</f>
      </c>
      <c r="N80" s="38">
        <f>N70-N78</f>
      </c>
      <c r="O80" s="4"/>
      <c r="P80" s="4"/>
      <c r="Q80" s="4"/>
      <c r="R80" s="4"/>
      <c r="S80" s="4"/>
      <c r="T80" s="4"/>
    </row>
    <row customHeight="true" ht="19" r="81">
      <c r="A81" s="4"/>
      <c r="B81" s="4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4"/>
      <c r="P81" s="4"/>
      <c r="Q81" s="4"/>
      <c r="R81" s="4"/>
      <c r="S81" s="4"/>
      <c r="T81" s="4"/>
    </row>
    <row customHeight="true" ht="19" r="82">
      <c r="A82" s="23" t="str">
        <v>Marketing Cost</v>
      </c>
      <c r="B82" s="4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4"/>
      <c r="P82" s="4"/>
      <c r="Q82" s="4"/>
      <c r="R82" s="4"/>
      <c r="S82" s="4"/>
      <c r="T82" s="4"/>
    </row>
    <row customHeight="true" ht="19" r="83">
      <c r="A83" s="4" t="str">
        <v>SEO, SEM, Etc</v>
      </c>
      <c r="B83" s="4"/>
      <c r="C83" s="35">
        <v>5000000</v>
      </c>
      <c r="D83" s="35">
        <v>35000000</v>
      </c>
      <c r="E83" s="35">
        <v>35000000</v>
      </c>
      <c r="F83" s="35">
        <v>35000000</v>
      </c>
      <c r="G83" s="35">
        <v>35000000</v>
      </c>
      <c r="H83" s="35">
        <v>35000000</v>
      </c>
      <c r="I83" s="35">
        <v>35000000</v>
      </c>
      <c r="J83" s="35">
        <v>35000000</v>
      </c>
      <c r="K83" s="35">
        <v>35000000</v>
      </c>
      <c r="L83" s="35">
        <v>35000000</v>
      </c>
      <c r="M83" s="35">
        <v>35000000</v>
      </c>
      <c r="N83" s="35">
        <v>35000000</v>
      </c>
      <c r="O83" s="4"/>
      <c r="P83" s="4"/>
      <c r="Q83" s="4"/>
      <c r="R83" s="4"/>
      <c r="S83" s="4"/>
      <c r="T83" s="4"/>
    </row>
    <row customHeight="true" ht="19" r="84">
      <c r="A84" s="4" t="str">
        <v>Soc Med Cost</v>
      </c>
      <c r="B84" s="4"/>
      <c r="C84" s="35">
        <v>1000000</v>
      </c>
      <c r="D84" s="35">
        <v>1000000</v>
      </c>
      <c r="E84" s="35">
        <v>1000000</v>
      </c>
      <c r="F84" s="35">
        <v>1000000</v>
      </c>
      <c r="G84" s="35">
        <v>1000000</v>
      </c>
      <c r="H84" s="35">
        <v>1000000</v>
      </c>
      <c r="I84" s="35">
        <v>1000000</v>
      </c>
      <c r="J84" s="35">
        <v>1000000</v>
      </c>
      <c r="K84" s="35">
        <v>1000000</v>
      </c>
      <c r="L84" s="35">
        <v>1000000</v>
      </c>
      <c r="M84" s="35">
        <v>1000000</v>
      </c>
      <c r="N84" s="35">
        <v>1000000</v>
      </c>
      <c r="O84" s="4"/>
      <c r="P84" s="4"/>
      <c r="Q84" s="4"/>
      <c r="R84" s="4"/>
      <c r="S84" s="4"/>
      <c r="T84" s="4"/>
    </row>
    <row customHeight="true" ht="19" r="85">
      <c r="A85" s="4" t="str">
        <v>Printing Product</v>
      </c>
      <c r="B85" s="4"/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4"/>
      <c r="P85" s="4"/>
      <c r="Q85" s="4"/>
      <c r="R85" s="4"/>
      <c r="S85" s="4"/>
      <c r="T85" s="4"/>
    </row>
    <row customHeight="true" ht="19" r="86">
      <c r="A86" s="4" t="str">
        <v>Marketing Salary</v>
      </c>
      <c r="B86" s="4"/>
      <c r="C86" s="35">
        <f>9000000*110%*9/22</f>
      </c>
      <c r="D86" s="35">
        <f>9000000*110%</f>
      </c>
      <c r="E86" s="35">
        <f>9000000*110%</f>
      </c>
      <c r="F86" s="35">
        <f>9000000*110%</f>
      </c>
      <c r="G86" s="35">
        <f>9000000*110%</f>
      </c>
      <c r="H86" s="35">
        <f>9000000*110%</f>
      </c>
      <c r="I86" s="35">
        <f>9000000*110%</f>
      </c>
      <c r="J86" s="35">
        <f>9000000*110%</f>
      </c>
      <c r="K86" s="35">
        <f>9000000*110%</f>
      </c>
      <c r="L86" s="35">
        <f>9000000*110%</f>
      </c>
      <c r="M86" s="35">
        <f>9000000*110%</f>
      </c>
      <c r="N86" s="35">
        <f>9000000*110%</f>
      </c>
      <c r="O86" s="4"/>
      <c r="P86" s="4"/>
      <c r="Q86" s="4"/>
      <c r="R86" s="4"/>
      <c r="S86" s="4"/>
      <c r="T86" s="4"/>
    </row>
    <row customHeight="true" ht="19" r="87">
      <c r="A87" s="23" t="str">
        <v>Total Marketing Cost</v>
      </c>
      <c r="B87" s="4"/>
      <c r="C87" s="38">
        <f>SUM(C83:C85)</f>
      </c>
      <c r="D87" s="38">
        <f>SUM(D83:D85)</f>
      </c>
      <c r="E87" s="38">
        <f>SUM(E83:E85)</f>
      </c>
      <c r="F87" s="38">
        <f>SUM(F83:F85)</f>
      </c>
      <c r="G87" s="38">
        <f>SUM(G83:G85)</f>
      </c>
      <c r="H87" s="38">
        <f>SUM(H83:H85)</f>
      </c>
      <c r="I87" s="38">
        <f>SUM(I83:I85)</f>
      </c>
      <c r="J87" s="38">
        <f>SUM(J83:J85)</f>
      </c>
      <c r="K87" s="38">
        <f>SUM(K83:K85)</f>
      </c>
      <c r="L87" s="38">
        <f>SUM(L83:L85)</f>
      </c>
      <c r="M87" s="38">
        <f>SUM(M83:M85)</f>
      </c>
      <c r="N87" s="38">
        <f>SUM(N83:N85)</f>
      </c>
      <c r="O87" s="4"/>
      <c r="P87" s="4"/>
      <c r="Q87" s="4"/>
      <c r="R87" s="4"/>
      <c r="S87" s="4"/>
      <c r="T87" s="4"/>
    </row>
    <row customHeight="true" ht="19" r="88">
      <c r="A88" s="4"/>
      <c r="B88" s="4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4"/>
      <c r="P88" s="4"/>
      <c r="Q88" s="4"/>
      <c r="R88" s="4"/>
      <c r="S88" s="4"/>
      <c r="T88" s="4"/>
    </row>
    <row customHeight="true" ht="19" r="89">
      <c r="A89" s="23" t="str">
        <v>GA Cost</v>
      </c>
      <c r="B89" s="4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4"/>
      <c r="P89" s="4"/>
      <c r="Q89" s="4"/>
      <c r="R89" s="4"/>
      <c r="S89" s="4"/>
      <c r="T89" s="4"/>
    </row>
    <row customHeight="true" ht="19" r="90">
      <c r="A90" s="4" t="str">
        <v>Audit &amp; Consulting Services</v>
      </c>
      <c r="B90" s="4"/>
      <c r="C90" s="35">
        <v>1800000</v>
      </c>
      <c r="D90" s="35">
        <v>1800000</v>
      </c>
      <c r="E90" s="35">
        <v>1800000</v>
      </c>
      <c r="F90" s="35">
        <v>3600000</v>
      </c>
      <c r="G90" s="35">
        <v>1800000</v>
      </c>
      <c r="H90" s="35">
        <v>1800000</v>
      </c>
      <c r="I90" s="35">
        <v>1800000</v>
      </c>
      <c r="J90" s="35">
        <v>1800000</v>
      </c>
      <c r="K90" s="35">
        <v>1800000</v>
      </c>
      <c r="L90" s="35">
        <v>1800000</v>
      </c>
      <c r="M90" s="35">
        <v>1800000</v>
      </c>
      <c r="N90" s="35">
        <v>1800000</v>
      </c>
      <c r="O90" s="4"/>
      <c r="P90" s="4"/>
      <c r="Q90" s="4"/>
      <c r="R90" s="4"/>
      <c r="S90" s="4"/>
      <c r="T90" s="4"/>
    </row>
    <row customHeight="true" ht="19" r="91">
      <c r="A91" s="4" t="str">
        <v>Communication Expenses</v>
      </c>
      <c r="B91" s="4"/>
      <c r="C91" s="35">
        <v>500000</v>
      </c>
      <c r="D91" s="35">
        <v>500000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4"/>
      <c r="P91" s="4"/>
      <c r="Q91" s="4"/>
      <c r="R91" s="4"/>
      <c r="S91" s="4"/>
      <c r="T91" s="4"/>
    </row>
    <row customHeight="true" ht="19" r="92">
      <c r="A92" s="4" t="str">
        <v>Insurance</v>
      </c>
      <c r="B92" s="4"/>
      <c r="C92" s="35">
        <v>0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4"/>
      <c r="P92" s="4"/>
      <c r="Q92" s="4"/>
      <c r="R92" s="4"/>
      <c r="S92" s="4"/>
      <c r="T92" s="4"/>
    </row>
    <row customHeight="true" ht="19" r="93">
      <c r="A93" s="4" t="str">
        <v>IT Supply</v>
      </c>
      <c r="B93" s="4"/>
      <c r="C93" s="35">
        <v>200000</v>
      </c>
      <c r="D93" s="35">
        <v>200000</v>
      </c>
      <c r="E93" s="35">
        <v>200000</v>
      </c>
      <c r="F93" s="35">
        <v>200000</v>
      </c>
      <c r="G93" s="35">
        <v>200000</v>
      </c>
      <c r="H93" s="35">
        <v>200000</v>
      </c>
      <c r="I93" s="35">
        <v>200000</v>
      </c>
      <c r="J93" s="35">
        <v>200000</v>
      </c>
      <c r="K93" s="35">
        <v>200000</v>
      </c>
      <c r="L93" s="35">
        <v>200000</v>
      </c>
      <c r="M93" s="35">
        <v>200000</v>
      </c>
      <c r="N93" s="35">
        <v>200000</v>
      </c>
      <c r="O93" s="4"/>
      <c r="P93" s="4"/>
      <c r="Q93" s="4"/>
      <c r="R93" s="4"/>
      <c r="S93" s="4"/>
      <c r="T93" s="4"/>
    </row>
    <row customHeight="true" ht="19" r="94">
      <c r="A94" s="4" t="str">
        <v>Legal Services</v>
      </c>
      <c r="B94" s="4"/>
      <c r="C94" s="35">
        <v>0</v>
      </c>
      <c r="D94" s="35">
        <v>0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4"/>
      <c r="P94" s="4"/>
      <c r="Q94" s="4"/>
      <c r="R94" s="4"/>
      <c r="S94" s="4"/>
      <c r="T94" s="4"/>
    </row>
    <row customHeight="true" ht="19" r="95">
      <c r="A95" s="4" t="str">
        <v>Office Expenses</v>
      </c>
      <c r="B95" s="4"/>
      <c r="C95" s="35">
        <f>300000+2200000+700000+500000+800000+500000</f>
      </c>
      <c r="D95" s="35">
        <f>300000+2200000+700000+500000+800000+500000</f>
      </c>
      <c r="E95" s="35">
        <f>300000+2200000+700000+500000+800000+500000</f>
      </c>
      <c r="F95" s="35">
        <f>300000+2200000+700000+500000+800000+500000</f>
      </c>
      <c r="G95" s="35">
        <f>300000+2200000+700000+500000+800000+500000</f>
      </c>
      <c r="H95" s="35">
        <f>300000+2200000+700000+500000+800000+500000</f>
      </c>
      <c r="I95" s="35">
        <f>300000+2200000+700000+500000+800000+500000</f>
      </c>
      <c r="J95" s="35">
        <f>300000+2200000+700000+500000+800000+500000</f>
      </c>
      <c r="K95" s="35">
        <f>300000+2200000+700000+500000+800000+500000</f>
      </c>
      <c r="L95" s="35">
        <f>300000+2200000+700000+500000+800000+500000</f>
      </c>
      <c r="M95" s="35">
        <f>300000+2200000+700000+500000+800000+500000</f>
      </c>
      <c r="N95" s="35">
        <f>300000+2200000+700000+500000+800000+500000</f>
      </c>
      <c r="O95" s="4"/>
      <c r="P95" s="4"/>
      <c r="Q95" s="4"/>
      <c r="R95" s="4"/>
      <c r="S95" s="4"/>
      <c r="T95" s="4"/>
    </row>
    <row customHeight="true" ht="19" r="96">
      <c r="A96" s="4" t="str">
        <v>Travel Expenses</v>
      </c>
      <c r="B96" s="4"/>
      <c r="C96" s="35">
        <v>2000000</v>
      </c>
      <c r="D96" s="35">
        <v>2000000</v>
      </c>
      <c r="E96" s="35">
        <v>2000000</v>
      </c>
      <c r="F96" s="35">
        <v>2000000</v>
      </c>
      <c r="G96" s="35">
        <v>2000000</v>
      </c>
      <c r="H96" s="35">
        <v>2000000</v>
      </c>
      <c r="I96" s="35">
        <v>2000000</v>
      </c>
      <c r="J96" s="35">
        <v>2000000</v>
      </c>
      <c r="K96" s="35">
        <v>2000000</v>
      </c>
      <c r="L96" s="35">
        <v>2000000</v>
      </c>
      <c r="M96" s="35">
        <v>2000000</v>
      </c>
      <c r="N96" s="35">
        <v>2000000</v>
      </c>
      <c r="O96" s="4"/>
      <c r="P96" s="4"/>
      <c r="Q96" s="4"/>
      <c r="R96" s="4"/>
      <c r="S96" s="4"/>
      <c r="T96" s="4"/>
    </row>
    <row customHeight="true" ht="19" r="97">
      <c r="A97" s="4" t="str">
        <v>Salary GA</v>
      </c>
      <c r="B97" s="4"/>
      <c r="C97" s="35">
        <f>114425000*118%</f>
      </c>
      <c r="D97" s="35">
        <f>114425000*118%</f>
      </c>
      <c r="E97" s="35">
        <f>114425000*118%*2-25400000</f>
      </c>
      <c r="F97" s="35">
        <f>114425000*118%</f>
      </c>
      <c r="G97" s="35">
        <f>114425000*118%</f>
      </c>
      <c r="H97" s="35">
        <f>114425000*118%</f>
      </c>
      <c r="I97" s="35">
        <f>114425000*118%</f>
      </c>
      <c r="J97" s="35">
        <f>114425000*118%</f>
      </c>
      <c r="K97" s="35">
        <f>114425000*118%</f>
      </c>
      <c r="L97" s="35">
        <f>114425000*118%</f>
      </c>
      <c r="M97" s="35">
        <f>114425000*118%</f>
      </c>
      <c r="N97" s="35">
        <f>114425000*118%+25400000</f>
      </c>
      <c r="O97" s="4"/>
      <c r="P97" s="4"/>
      <c r="Q97" s="4"/>
      <c r="R97" s="4"/>
      <c r="S97" s="4"/>
      <c r="T97" s="4"/>
    </row>
    <row customHeight="true" ht="19" r="98">
      <c r="A98" s="4" t="str">
        <v>Other GA Cost</v>
      </c>
      <c r="B98" s="4"/>
      <c r="C98" s="35">
        <v>1000000</v>
      </c>
      <c r="D98" s="35">
        <v>1000000</v>
      </c>
      <c r="E98" s="35">
        <v>1000000</v>
      </c>
      <c r="F98" s="35">
        <v>1000000</v>
      </c>
      <c r="G98" s="35">
        <v>1000000</v>
      </c>
      <c r="H98" s="35">
        <v>1000000</v>
      </c>
      <c r="I98" s="35">
        <v>1000000</v>
      </c>
      <c r="J98" s="35">
        <v>1000000</v>
      </c>
      <c r="K98" s="35">
        <v>1000000</v>
      </c>
      <c r="L98" s="35">
        <v>1000000</v>
      </c>
      <c r="M98" s="35">
        <v>1000000</v>
      </c>
      <c r="N98" s="35">
        <v>1000000</v>
      </c>
      <c r="O98" s="4"/>
      <c r="P98" s="4"/>
      <c r="Q98" s="4"/>
      <c r="R98" s="4"/>
      <c r="S98" s="4"/>
      <c r="T98" s="4"/>
    </row>
    <row customHeight="true" ht="19" r="99">
      <c r="A99" s="23" t="str">
        <v>Total GA Cost</v>
      </c>
      <c r="B99" s="4"/>
      <c r="C99" s="38">
        <f>SUM(C90:C98)</f>
      </c>
      <c r="D99" s="38">
        <f>SUM(D90:D98)</f>
      </c>
      <c r="E99" s="38">
        <f>SUM(E90:E98)</f>
      </c>
      <c r="F99" s="38">
        <f>SUM(F90:F98)</f>
      </c>
      <c r="G99" s="38">
        <f>SUM(G90:G98)</f>
      </c>
      <c r="H99" s="38">
        <f>SUM(H90:H98)</f>
      </c>
      <c r="I99" s="38">
        <f>SUM(I90:I98)</f>
      </c>
      <c r="J99" s="38">
        <f>SUM(J90:J98)</f>
      </c>
      <c r="K99" s="38">
        <f>SUM(K90:K98)</f>
      </c>
      <c r="L99" s="38">
        <f>SUM(L90:L98)</f>
      </c>
      <c r="M99" s="38">
        <f>SUM(M90:M98)</f>
      </c>
      <c r="N99" s="38">
        <f>SUM(N90:N98)</f>
      </c>
      <c r="O99" s="4"/>
      <c r="P99" s="4"/>
      <c r="Q99" s="4"/>
      <c r="R99" s="4"/>
      <c r="S99" s="4"/>
      <c r="T99" s="4"/>
    </row>
    <row customHeight="true" ht="19" r="100">
      <c r="A100" s="4"/>
      <c r="B100" s="4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4"/>
      <c r="P100" s="4"/>
      <c r="Q100" s="4"/>
      <c r="R100" s="4"/>
      <c r="S100" s="4"/>
      <c r="T100" s="4"/>
    </row>
    <row customHeight="true" ht="19" r="101">
      <c r="A101" s="23" t="str">
        <v>PL Before Tax</v>
      </c>
      <c r="B101" s="4"/>
      <c r="C101" s="38">
        <f>C80-C87-C99</f>
      </c>
      <c r="D101" s="38">
        <f>D80-D87-D99</f>
      </c>
      <c r="E101" s="38">
        <f>E80-E87-E99</f>
      </c>
      <c r="F101" s="38">
        <f>F80-F87-F99</f>
      </c>
      <c r="G101" s="38">
        <f>G80-G87-G99</f>
      </c>
      <c r="H101" s="38">
        <f>H80-H87-H99</f>
      </c>
      <c r="I101" s="38">
        <f>I80-I87-I99</f>
      </c>
      <c r="J101" s="38">
        <f>J80-J87-J99</f>
      </c>
      <c r="K101" s="38">
        <f>K80-K87-K99</f>
      </c>
      <c r="L101" s="38">
        <f>L80-L87-L99</f>
      </c>
      <c r="M101" s="38">
        <f>M80-M87-M99</f>
      </c>
      <c r="N101" s="38">
        <f>N80-N87-N99</f>
      </c>
      <c r="O101" s="4"/>
      <c r="P101" s="4"/>
      <c r="Q101" s="4"/>
      <c r="R101" s="4"/>
      <c r="S101" s="4"/>
      <c r="T101" s="4"/>
    </row>
    <row customHeight="true" ht="19" r="102">
      <c r="A102" s="4"/>
      <c r="B102" s="4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4"/>
      <c r="P102" s="4"/>
      <c r="Q102" s="4"/>
      <c r="R102" s="4"/>
      <c r="S102" s="4"/>
      <c r="T102" s="4"/>
    </row>
    <row customHeight="true" ht="19" r="103">
      <c r="A103" s="23" t="str">
        <v>Taxes</v>
      </c>
      <c r="B103" s="4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4"/>
      <c r="P103" s="4"/>
      <c r="Q103" s="4"/>
      <c r="R103" s="4"/>
      <c r="S103" s="4"/>
      <c r="T103" s="4"/>
    </row>
    <row customHeight="true" ht="19" r="104">
      <c r="A104" s="4" t="str">
        <v>- WHT 23</v>
      </c>
      <c r="B104" s="4"/>
      <c r="C104" s="35">
        <f>C67*60%*2%</f>
      </c>
      <c r="D104" s="35">
        <f>D67*60%*2%</f>
      </c>
      <c r="E104" s="35">
        <f>E67*60%*2%</f>
      </c>
      <c r="F104" s="35">
        <f>F67*60%*2%</f>
      </c>
      <c r="G104" s="35">
        <f>G67*60%*2%</f>
      </c>
      <c r="H104" s="35">
        <f>H67*60%*2%</f>
      </c>
      <c r="I104" s="35">
        <f>I67*60%*2%</f>
      </c>
      <c r="J104" s="35">
        <f>J67*60%*2%</f>
      </c>
      <c r="K104" s="35">
        <f>K67*60%*2%</f>
      </c>
      <c r="L104" s="35">
        <f>L67*60%*2%</f>
      </c>
      <c r="M104" s="35">
        <f>M67*60%*2%</f>
      </c>
      <c r="N104" s="35">
        <f>N67*60%*2%</f>
      </c>
      <c r="O104" s="4"/>
      <c r="P104" s="4"/>
      <c r="Q104" s="4"/>
      <c r="R104" s="4"/>
      <c r="S104" s="4"/>
      <c r="T104" s="4"/>
    </row>
    <row customHeight="true" ht="19" r="105">
      <c r="A105" s="4" t="str">
        <v>- Tax Income</v>
      </c>
      <c r="B105" s="4"/>
      <c r="C105" s="35">
        <v>0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f>IF(SUM(C101:N101)&lt;=0,0,SUM(C101:N101)*22%)</f>
      </c>
      <c r="O105" s="4"/>
      <c r="P105" s="4"/>
      <c r="Q105" s="4"/>
      <c r="R105" s="4"/>
      <c r="S105" s="4"/>
      <c r="T105" s="4"/>
    </row>
    <row customHeight="true" ht="19" r="106">
      <c r="A106" s="23" t="str">
        <v>Total Tax</v>
      </c>
      <c r="B106" s="4"/>
      <c r="C106" s="38">
        <f>SUM(C104:C105)</f>
      </c>
      <c r="D106" s="38">
        <f>SUM(D104:D105)</f>
      </c>
      <c r="E106" s="38">
        <f>SUM(E104:E105)</f>
      </c>
      <c r="F106" s="38">
        <f>SUM(F104:F105)</f>
      </c>
      <c r="G106" s="38">
        <f>SUM(G104:G105)</f>
      </c>
      <c r="H106" s="38">
        <f>SUM(H104:H105)</f>
      </c>
      <c r="I106" s="38">
        <f>SUM(I104:I105)</f>
      </c>
      <c r="J106" s="38">
        <f>SUM(J104:J105)</f>
      </c>
      <c r="K106" s="38">
        <f>SUM(K104:K105)</f>
      </c>
      <c r="L106" s="38">
        <f>SUM(L104:L105)</f>
      </c>
      <c r="M106" s="38">
        <f>SUM(M104:M105)</f>
      </c>
      <c r="N106" s="38">
        <f>SUM(N104:N105)</f>
      </c>
      <c r="O106" s="4"/>
      <c r="P106" s="4"/>
      <c r="Q106" s="4"/>
      <c r="R106" s="4"/>
      <c r="S106" s="4"/>
      <c r="T106" s="4"/>
    </row>
    <row customHeight="true" ht="19" r="107">
      <c r="A107" s="4"/>
      <c r="B107" s="4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4"/>
      <c r="P107" s="4"/>
      <c r="Q107" s="4"/>
      <c r="R107" s="4"/>
      <c r="S107" s="4"/>
      <c r="T107" s="4"/>
    </row>
    <row customHeight="true" ht="19" r="108">
      <c r="A108" s="23" t="str">
        <v>PL After Tax</v>
      </c>
      <c r="B108" s="4"/>
      <c r="C108" s="38">
        <f>C101-C106</f>
      </c>
      <c r="D108" s="38">
        <f>D101-D106</f>
      </c>
      <c r="E108" s="38">
        <f>E101-E106</f>
      </c>
      <c r="F108" s="38">
        <f>F101-F106</f>
      </c>
      <c r="G108" s="38">
        <f>G101-G106</f>
      </c>
      <c r="H108" s="38">
        <f>H101-H106</f>
      </c>
      <c r="I108" s="38">
        <f>I101-I106</f>
      </c>
      <c r="J108" s="38">
        <f>J101-J106</f>
      </c>
      <c r="K108" s="38">
        <f>K101-K106</f>
      </c>
      <c r="L108" s="38">
        <f>L101-L106</f>
      </c>
      <c r="M108" s="38">
        <f>M101-M106</f>
      </c>
      <c r="N108" s="38">
        <f>N101-N106</f>
      </c>
      <c r="O108" s="38">
        <f>SUM(C108:N108)</f>
      </c>
      <c r="P108" s="4"/>
      <c r="Q108" s="4"/>
      <c r="R108" s="4"/>
      <c r="S108" s="4"/>
      <c r="T108" s="4"/>
    </row>
    <row customHeight="true" ht="19" r="109">
      <c r="A109" s="4"/>
      <c r="B109" s="4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23"/>
      <c r="P109" s="4"/>
      <c r="Q109" s="4"/>
      <c r="R109" s="4"/>
      <c r="S109" s="4"/>
      <c r="T109" s="4"/>
    </row>
    <row customHeight="true" ht="19" r="110">
      <c r="A110" s="4"/>
      <c r="B110" s="4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23"/>
      <c r="P110" s="4"/>
      <c r="Q110" s="4"/>
      <c r="R110" s="4"/>
      <c r="S110" s="4"/>
      <c r="T110" s="4"/>
    </row>
    <row customHeight="true" ht="19" r="111">
      <c r="A111" s="4"/>
      <c r="B111" s="4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23"/>
      <c r="P111" s="4"/>
      <c r="Q111" s="4"/>
      <c r="R111" s="4"/>
      <c r="S111" s="4"/>
      <c r="T111" s="4"/>
    </row>
    <row customHeight="true" ht="19" r="112">
      <c r="A112" s="23" t="str">
        <v>Without Infrastructure</v>
      </c>
      <c r="B112" s="4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23"/>
      <c r="P112" s="4"/>
      <c r="Q112" s="4"/>
      <c r="R112" s="4"/>
      <c r="S112" s="4"/>
      <c r="T112" s="4"/>
    </row>
    <row customHeight="true" ht="19" r="113">
      <c r="A113" s="23" t="str">
        <v>PL Before Tax</v>
      </c>
      <c r="B113" s="4"/>
      <c r="C113" s="38">
        <f>C101+C74</f>
      </c>
      <c r="D113" s="38">
        <f>D101+D74</f>
      </c>
      <c r="E113" s="38">
        <f>E101+E74</f>
      </c>
      <c r="F113" s="38">
        <f>F101+F74</f>
      </c>
      <c r="G113" s="38">
        <f>G101+G74</f>
      </c>
      <c r="H113" s="38">
        <f>H101+H74</f>
      </c>
      <c r="I113" s="38">
        <f>I101+I74</f>
      </c>
      <c r="J113" s="38">
        <f>J101+J74</f>
      </c>
      <c r="K113" s="38">
        <f>K101+K74</f>
      </c>
      <c r="L113" s="38">
        <f>L101+L74</f>
      </c>
      <c r="M113" s="38">
        <f>M101+M74</f>
      </c>
      <c r="N113" s="38">
        <f>N101+N74</f>
      </c>
      <c r="O113" s="23"/>
      <c r="P113" s="4"/>
      <c r="Q113" s="4"/>
      <c r="R113" s="4"/>
      <c r="S113" s="4"/>
      <c r="T113" s="4"/>
    </row>
    <row customHeight="true" ht="19" r="114">
      <c r="A114" s="4"/>
      <c r="B114" s="4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23"/>
      <c r="P114" s="4"/>
      <c r="Q114" s="4"/>
      <c r="R114" s="4"/>
      <c r="S114" s="4"/>
      <c r="T114" s="4"/>
    </row>
    <row customHeight="true" ht="19" r="115">
      <c r="A115" s="23" t="str">
        <v>Taxes</v>
      </c>
      <c r="B115" s="4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23"/>
      <c r="P115" s="4"/>
      <c r="Q115" s="4"/>
      <c r="R115" s="4"/>
      <c r="S115" s="4"/>
      <c r="T115" s="4"/>
    </row>
    <row customHeight="true" ht="19" r="116">
      <c r="A116" s="4" t="str">
        <v>- WHT 23</v>
      </c>
      <c r="B116" s="4"/>
      <c r="C116" s="35">
        <f>C67*60%*2%</f>
      </c>
      <c r="D116" s="35">
        <f>D67*60%*2%</f>
      </c>
      <c r="E116" s="35">
        <f>E67*60%*2%</f>
      </c>
      <c r="F116" s="35">
        <f>F67*60%*2%</f>
      </c>
      <c r="G116" s="35">
        <f>G67*60%*2%</f>
      </c>
      <c r="H116" s="35">
        <f>H67*60%*2%</f>
      </c>
      <c r="I116" s="35">
        <f>I67*60%*2%</f>
      </c>
      <c r="J116" s="35">
        <f>J67*60%*2%</f>
      </c>
      <c r="K116" s="35">
        <f>K67*60%*2%</f>
      </c>
      <c r="L116" s="35">
        <f>L67*60%*2%</f>
      </c>
      <c r="M116" s="35">
        <f>M67*60%*2%</f>
      </c>
      <c r="N116" s="35">
        <f>N67*60%*2%</f>
      </c>
      <c r="O116" s="23"/>
      <c r="P116" s="4"/>
      <c r="Q116" s="4"/>
      <c r="R116" s="4"/>
      <c r="S116" s="4"/>
      <c r="T116" s="4"/>
    </row>
    <row customHeight="true" ht="19" r="117">
      <c r="A117" s="4" t="str">
        <v>- Tax Income</v>
      </c>
      <c r="B117" s="4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5">
        <f>IF(SUM(C113:N113)&lt;=0,0,SUM(C113:N113)*22%)</f>
      </c>
      <c r="O117" s="23"/>
      <c r="P117" s="4"/>
      <c r="Q117" s="4"/>
      <c r="R117" s="4"/>
      <c r="S117" s="4"/>
      <c r="T117" s="4"/>
    </row>
    <row customHeight="true" ht="19" r="118">
      <c r="A118" s="23" t="str">
        <v>Total Tax</v>
      </c>
      <c r="B118" s="4"/>
      <c r="C118" s="38">
        <f>SUM(C116:C117)</f>
      </c>
      <c r="D118" s="38">
        <f>SUM(D116:D117)</f>
      </c>
      <c r="E118" s="38">
        <f>SUM(E116:E117)</f>
      </c>
      <c r="F118" s="38">
        <f>SUM(F116:F117)</f>
      </c>
      <c r="G118" s="38">
        <f>SUM(G116:G117)</f>
      </c>
      <c r="H118" s="38">
        <f>SUM(H116:H117)</f>
      </c>
      <c r="I118" s="38">
        <f>SUM(I116:I117)</f>
      </c>
      <c r="J118" s="38">
        <f>SUM(J116:J117)</f>
      </c>
      <c r="K118" s="38">
        <f>SUM(K116:K117)</f>
      </c>
      <c r="L118" s="38">
        <f>SUM(L116:L117)</f>
      </c>
      <c r="M118" s="38">
        <f>SUM(M116:M117)</f>
      </c>
      <c r="N118" s="38">
        <f>SUM(N116:N117)</f>
      </c>
      <c r="O118" s="23"/>
      <c r="P118" s="4"/>
      <c r="Q118" s="4"/>
      <c r="R118" s="4"/>
      <c r="S118" s="4"/>
      <c r="T118" s="4"/>
    </row>
    <row customHeight="true" ht="19" r="119">
      <c r="A119" s="4"/>
      <c r="B119" s="4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23"/>
      <c r="P119" s="4"/>
      <c r="Q119" s="4"/>
      <c r="R119" s="4"/>
      <c r="S119" s="4"/>
      <c r="T119" s="4"/>
    </row>
    <row customHeight="true" ht="19" r="120">
      <c r="A120" s="23" t="str">
        <v>PL After Tax</v>
      </c>
      <c r="B120" s="4"/>
      <c r="C120" s="38">
        <f>C113-C118</f>
      </c>
      <c r="D120" s="38">
        <f>D113-D118</f>
      </c>
      <c r="E120" s="38">
        <f>E113-E118</f>
      </c>
      <c r="F120" s="38">
        <f>F113-F118</f>
      </c>
      <c r="G120" s="38">
        <f>G113-G118</f>
      </c>
      <c r="H120" s="38">
        <f>H113-H118</f>
      </c>
      <c r="I120" s="38">
        <f>I113-I118</f>
      </c>
      <c r="J120" s="38">
        <f>J113-J118</f>
      </c>
      <c r="K120" s="38">
        <f>K113-K118</f>
      </c>
      <c r="L120" s="38">
        <f>L113-L118</f>
      </c>
      <c r="M120" s="38">
        <f>M113-M118</f>
      </c>
      <c r="N120" s="38">
        <f>N113-N118</f>
      </c>
      <c r="O120" s="38">
        <f>SUM(C120:N120)</f>
      </c>
      <c r="P120" s="4"/>
      <c r="Q120" s="4"/>
      <c r="R120" s="4"/>
      <c r="S120" s="4"/>
      <c r="T120" s="4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idden="true" ht="19" r="1">
      <c r="A1" s="53" t="str">
        <v>Forecast 2026 No Growth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49"/>
      <c r="O1" s="4"/>
      <c r="P1" s="4"/>
      <c r="Q1" s="4"/>
      <c r="R1" s="4"/>
      <c r="S1" s="4"/>
      <c r="T1" s="4"/>
    </row>
    <row customHeight="true" hidden="true" ht="19" r="2">
      <c r="A2" s="4"/>
      <c r="B2" s="53"/>
      <c r="C2" s="54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4"/>
      <c r="P2" s="4"/>
      <c r="Q2" s="4"/>
      <c r="R2" s="4"/>
      <c r="S2" s="4"/>
      <c r="T2" s="4"/>
    </row>
    <row customHeight="true" hidden="true" ht="19" r="3">
      <c r="A3" s="4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49"/>
      <c r="O3" s="4"/>
      <c r="P3" s="4"/>
      <c r="Q3" s="4"/>
      <c r="R3" s="4"/>
      <c r="S3" s="4"/>
      <c r="T3" s="4"/>
    </row>
    <row customHeight="true" hidden="true" ht="19" r="4">
      <c r="A4" s="4"/>
      <c r="B4" s="51">
        <v>46048</v>
      </c>
      <c r="C4" s="51">
        <v>46079</v>
      </c>
      <c r="D4" s="51">
        <v>46107</v>
      </c>
      <c r="E4" s="51">
        <v>46138</v>
      </c>
      <c r="F4" s="52">
        <v>46168</v>
      </c>
      <c r="G4" s="51">
        <v>46199</v>
      </c>
      <c r="H4" s="51">
        <v>46229</v>
      </c>
      <c r="I4" s="51">
        <v>46260</v>
      </c>
      <c r="J4" s="51">
        <v>46291</v>
      </c>
      <c r="K4" s="51">
        <v>46321</v>
      </c>
      <c r="L4" s="51">
        <v>46352</v>
      </c>
      <c r="M4" s="51">
        <v>46382</v>
      </c>
      <c r="N4" s="54"/>
      <c r="O4" s="4"/>
      <c r="P4" s="4"/>
      <c r="Q4" s="4"/>
      <c r="R4" s="4"/>
      <c r="S4" s="4"/>
      <c r="T4" s="4"/>
    </row>
    <row customHeight="true" hidden="true" ht="19" r="5">
      <c r="A5" s="56" t="str">
        <v>Total Delivery</v>
      </c>
      <c r="B5" s="46">
        <f>B6+B8</f>
      </c>
      <c r="C5" s="46">
        <f>C6+C8</f>
      </c>
      <c r="D5" s="46">
        <f>D6+D8</f>
      </c>
      <c r="E5" s="46">
        <f>E6+E8</f>
      </c>
      <c r="F5" s="46">
        <f>F6+F8</f>
      </c>
      <c r="G5" s="46">
        <f>G6+G8</f>
      </c>
      <c r="H5" s="46">
        <f>H6+H8</f>
      </c>
      <c r="I5" s="46">
        <f>I6+I8</f>
      </c>
      <c r="J5" s="46">
        <f>J6+J8</f>
      </c>
      <c r="K5" s="46">
        <f>K6+K8</f>
      </c>
      <c r="L5" s="46">
        <f>L6+L8</f>
      </c>
      <c r="M5" s="46">
        <f>M6+M8</f>
      </c>
      <c r="N5" s="50"/>
      <c r="O5" s="4"/>
      <c r="P5" s="4"/>
      <c r="Q5" s="4"/>
      <c r="R5" s="4"/>
      <c r="S5" s="4"/>
      <c r="T5" s="4"/>
    </row>
    <row customHeight="true" hidden="true" ht="19" r="6">
      <c r="A6" s="56" t="str">
        <v>Organic</v>
      </c>
      <c r="B6" s="46">
        <v>25000</v>
      </c>
      <c r="C6" s="46">
        <v>25750</v>
      </c>
      <c r="D6" s="46">
        <f>30900+5000</f>
      </c>
      <c r="E6" s="46">
        <v>31827</v>
      </c>
      <c r="F6" s="46">
        <v>32781</v>
      </c>
      <c r="G6" s="46">
        <v>33765</v>
      </c>
      <c r="H6" s="46">
        <v>34778</v>
      </c>
      <c r="I6" s="46">
        <v>35821</v>
      </c>
      <c r="J6" s="46">
        <v>36896</v>
      </c>
      <c r="K6" s="46">
        <v>38003</v>
      </c>
      <c r="L6" s="46">
        <v>39143</v>
      </c>
      <c r="M6" s="46">
        <f>43057+5000</f>
      </c>
      <c r="N6" s="50"/>
      <c r="O6" s="4"/>
      <c r="P6" s="4"/>
      <c r="Q6" s="4"/>
      <c r="R6" s="4"/>
      <c r="S6" s="4"/>
      <c r="T6" s="4"/>
    </row>
    <row customHeight="true" hidden="true" ht="19" r="7">
      <c r="A7" s="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49"/>
      <c r="O7" s="4"/>
      <c r="P7" s="4"/>
      <c r="Q7" s="4"/>
      <c r="R7" s="4"/>
      <c r="S7" s="4"/>
      <c r="T7" s="4"/>
    </row>
    <row customHeight="true" hidden="true" ht="19" r="8">
      <c r="A8" s="36" t="str">
        <v>Total</v>
      </c>
      <c r="B8" s="46">
        <f>SUM(B10:B51)</f>
      </c>
      <c r="C8" s="46">
        <f>SUM(C10:C31)</f>
      </c>
      <c r="D8" s="46">
        <f>SUM(D10:D51)</f>
      </c>
      <c r="E8" s="46">
        <f>SUM(E10:E51)</f>
      </c>
      <c r="F8" s="46">
        <f>SUM(F10:F51)</f>
      </c>
      <c r="G8" s="46">
        <f>SUM(G10:G51)</f>
      </c>
      <c r="H8" s="46">
        <f>SUM(H10:H51)</f>
      </c>
      <c r="I8" s="46">
        <f>SUM(I10:I51)</f>
      </c>
      <c r="J8" s="46">
        <f>SUM(J10:J51)</f>
      </c>
      <c r="K8" s="46">
        <f>SUM(K10:K51)</f>
      </c>
      <c r="L8" s="46">
        <f>SUM(L10:L51)</f>
      </c>
      <c r="M8" s="46">
        <f>SUM(M10:M51)</f>
      </c>
      <c r="N8" s="50"/>
      <c r="O8" s="4"/>
      <c r="P8" s="4"/>
      <c r="Q8" s="4"/>
      <c r="R8" s="4"/>
      <c r="S8" s="4"/>
      <c r="T8" s="4"/>
    </row>
    <row customHeight="true" hidden="true" ht="19" r="9">
      <c r="A9" s="48"/>
      <c r="B9" s="4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49"/>
      <c r="O9" s="4"/>
      <c r="P9" s="4"/>
      <c r="Q9" s="4"/>
      <c r="R9" s="47"/>
      <c r="S9" s="4"/>
      <c r="T9" s="47"/>
    </row>
    <row customHeight="true" hidden="true" ht="19" r="10">
      <c r="A10" s="48" t="str">
        <v>Nuskin invoice</v>
      </c>
      <c r="B10" s="46">
        <v>1900</v>
      </c>
      <c r="C10" s="46">
        <v>1793</v>
      </c>
      <c r="D10" s="46">
        <v>2000</v>
      </c>
      <c r="E10" s="46">
        <v>1756</v>
      </c>
      <c r="F10" s="46">
        <v>2025</v>
      </c>
      <c r="G10" s="46">
        <v>2198</v>
      </c>
      <c r="H10" s="46">
        <v>1858</v>
      </c>
      <c r="I10" s="46">
        <v>1789</v>
      </c>
      <c r="J10" s="46">
        <v>1565</v>
      </c>
      <c r="K10" s="46">
        <v>1417</v>
      </c>
      <c r="L10" s="46">
        <v>1547</v>
      </c>
      <c r="M10" s="46">
        <v>2000</v>
      </c>
      <c r="N10" s="50"/>
      <c r="O10" s="4"/>
      <c r="P10" s="4"/>
      <c r="Q10" s="4"/>
      <c r="R10" s="47"/>
      <c r="S10" s="4"/>
      <c r="T10" s="47"/>
    </row>
    <row customHeight="true" hidden="true" ht="19" r="11">
      <c r="A11" s="48" t="str">
        <v>mClinica Akun Utama</v>
      </c>
      <c r="B11" s="46">
        <v>1500</v>
      </c>
      <c r="C11" s="46">
        <v>1500</v>
      </c>
      <c r="D11" s="46">
        <v>1500</v>
      </c>
      <c r="E11" s="46">
        <v>1500</v>
      </c>
      <c r="F11" s="46">
        <v>1500</v>
      </c>
      <c r="G11" s="46">
        <v>1500</v>
      </c>
      <c r="H11" s="46">
        <v>1500</v>
      </c>
      <c r="I11" s="46">
        <v>1500</v>
      </c>
      <c r="J11" s="46">
        <v>1500</v>
      </c>
      <c r="K11" s="46">
        <v>1500</v>
      </c>
      <c r="L11" s="46">
        <v>1500</v>
      </c>
      <c r="M11" s="46">
        <v>1500</v>
      </c>
      <c r="N11" s="50"/>
      <c r="O11" s="4"/>
      <c r="P11" s="4"/>
      <c r="Q11" s="4"/>
      <c r="R11" s="47"/>
      <c r="S11" s="4"/>
      <c r="T11" s="47"/>
    </row>
    <row customHeight="true" hidden="true" ht="19" r="12">
      <c r="A12" s="48" t="str">
        <v>PT. Cipta Dwiputra Cemerlang</v>
      </c>
      <c r="B12" s="46">
        <v>2500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50"/>
      <c r="O12" s="4"/>
      <c r="P12" s="4"/>
      <c r="Q12" s="4"/>
      <c r="R12" s="47"/>
      <c r="S12" s="4"/>
      <c r="T12" s="47"/>
    </row>
    <row customHeight="true" hidden="true" ht="19" r="13">
      <c r="A13" s="48" t="str">
        <v>Grouu Baby</v>
      </c>
      <c r="B13" s="46">
        <v>2300</v>
      </c>
      <c r="C13" s="46">
        <v>2200</v>
      </c>
      <c r="D13" s="46">
        <v>2200</v>
      </c>
      <c r="E13" s="46">
        <v>2200</v>
      </c>
      <c r="F13" s="46">
        <v>2200</v>
      </c>
      <c r="G13" s="46">
        <v>2200</v>
      </c>
      <c r="H13" s="46">
        <v>2200</v>
      </c>
      <c r="I13" s="46">
        <v>2200</v>
      </c>
      <c r="J13" s="46">
        <v>2200</v>
      </c>
      <c r="K13" s="46">
        <v>2200</v>
      </c>
      <c r="L13" s="46">
        <v>2200</v>
      </c>
      <c r="M13" s="46">
        <v>2200</v>
      </c>
      <c r="N13" s="50"/>
      <c r="O13" s="4"/>
      <c r="P13" s="4"/>
      <c r="Q13" s="4"/>
      <c r="R13" s="47"/>
      <c r="S13" s="4"/>
      <c r="T13" s="47"/>
    </row>
    <row customHeight="true" hidden="true" ht="19" r="14">
      <c r="A14" s="48" t="str">
        <v>Super Grain</v>
      </c>
      <c r="B14" s="46">
        <v>1000</v>
      </c>
      <c r="C14" s="46">
        <v>1000</v>
      </c>
      <c r="D14" s="46">
        <v>1000</v>
      </c>
      <c r="E14" s="46">
        <v>1000</v>
      </c>
      <c r="F14" s="46">
        <v>1000</v>
      </c>
      <c r="G14" s="46">
        <v>1000</v>
      </c>
      <c r="H14" s="46">
        <v>1000</v>
      </c>
      <c r="I14" s="46">
        <v>1000</v>
      </c>
      <c r="J14" s="46">
        <v>1000</v>
      </c>
      <c r="K14" s="46">
        <v>1000</v>
      </c>
      <c r="L14" s="46">
        <v>1000</v>
      </c>
      <c r="M14" s="46">
        <v>1000</v>
      </c>
      <c r="N14" s="50"/>
      <c r="O14" s="4"/>
      <c r="P14" s="4"/>
      <c r="Q14" s="4"/>
      <c r="R14" s="47"/>
      <c r="S14" s="4"/>
      <c r="T14" s="47"/>
    </row>
    <row customHeight="true" hidden="true" ht="19" r="15">
      <c r="A15" s="48" t="str">
        <v>Lazada Indonesia Invoice</v>
      </c>
      <c r="B15" s="46">
        <v>1000</v>
      </c>
      <c r="C15" s="46">
        <v>1000</v>
      </c>
      <c r="D15" s="46">
        <v>1000</v>
      </c>
      <c r="E15" s="46">
        <v>1000</v>
      </c>
      <c r="F15" s="46">
        <v>1000</v>
      </c>
      <c r="G15" s="46">
        <v>1000</v>
      </c>
      <c r="H15" s="46">
        <v>1000</v>
      </c>
      <c r="I15" s="46">
        <v>1000</v>
      </c>
      <c r="J15" s="46">
        <v>1000</v>
      </c>
      <c r="K15" s="46">
        <v>1000</v>
      </c>
      <c r="L15" s="46">
        <v>1000</v>
      </c>
      <c r="M15" s="46">
        <v>1000</v>
      </c>
      <c r="N15" s="50"/>
      <c r="O15" s="4"/>
      <c r="P15" s="4"/>
      <c r="Q15" s="4"/>
      <c r="R15" s="47"/>
      <c r="S15" s="4"/>
      <c r="T15" s="47"/>
    </row>
    <row customHeight="true" hidden="true" ht="19" r="16">
      <c r="A16" s="48" t="str">
        <v>Andalan Express Indonesia</v>
      </c>
      <c r="B16" s="46">
        <v>2700</v>
      </c>
      <c r="C16" s="46">
        <v>2700</v>
      </c>
      <c r="D16" s="46">
        <v>2700</v>
      </c>
      <c r="E16" s="46">
        <v>2700</v>
      </c>
      <c r="F16" s="46">
        <v>2700</v>
      </c>
      <c r="G16" s="46">
        <v>2700</v>
      </c>
      <c r="H16" s="46">
        <v>2700</v>
      </c>
      <c r="I16" s="46">
        <v>2700</v>
      </c>
      <c r="J16" s="46">
        <v>2700</v>
      </c>
      <c r="K16" s="46">
        <v>2700</v>
      </c>
      <c r="L16" s="46">
        <v>2700</v>
      </c>
      <c r="M16" s="46">
        <v>2700</v>
      </c>
      <c r="N16" s="50"/>
      <c r="O16" s="4"/>
      <c r="P16" s="4"/>
      <c r="Q16" s="4"/>
      <c r="R16" s="47"/>
      <c r="S16" s="4"/>
      <c r="T16" s="47"/>
    </row>
    <row customHeight="true" hidden="true" ht="19" r="17">
      <c r="A17" s="48" t="str">
        <v>Halodoc Indonesia</v>
      </c>
      <c r="B17" s="46">
        <v>15000</v>
      </c>
      <c r="C17" s="46">
        <v>20000</v>
      </c>
      <c r="D17" s="46">
        <v>30000</v>
      </c>
      <c r="E17" s="46">
        <v>30000</v>
      </c>
      <c r="F17" s="46">
        <v>30000</v>
      </c>
      <c r="G17" s="46">
        <v>30000</v>
      </c>
      <c r="H17" s="46">
        <v>30000</v>
      </c>
      <c r="I17" s="46">
        <v>30000</v>
      </c>
      <c r="J17" s="46">
        <v>30000</v>
      </c>
      <c r="K17" s="46">
        <v>30000</v>
      </c>
      <c r="L17" s="46">
        <v>30000</v>
      </c>
      <c r="M17" s="46">
        <v>30000</v>
      </c>
      <c r="N17" s="50"/>
      <c r="O17" s="4"/>
      <c r="P17" s="4"/>
      <c r="Q17" s="4"/>
      <c r="R17" s="47"/>
      <c r="S17" s="4"/>
      <c r="T17" s="47"/>
    </row>
    <row customHeight="true" hidden="true" ht="19" r="18">
      <c r="A18" s="48" t="str">
        <v>Klean Katering Invoice</v>
      </c>
      <c r="B18" s="46">
        <v>5500</v>
      </c>
      <c r="C18" s="46">
        <v>5500</v>
      </c>
      <c r="D18" s="46">
        <v>5500</v>
      </c>
      <c r="E18" s="46">
        <v>5500</v>
      </c>
      <c r="F18" s="46">
        <v>5500</v>
      </c>
      <c r="G18" s="46">
        <v>5500</v>
      </c>
      <c r="H18" s="46">
        <v>5500</v>
      </c>
      <c r="I18" s="46">
        <v>5500</v>
      </c>
      <c r="J18" s="46">
        <v>5500</v>
      </c>
      <c r="K18" s="46">
        <v>5500</v>
      </c>
      <c r="L18" s="46">
        <v>5500</v>
      </c>
      <c r="M18" s="46">
        <v>5500</v>
      </c>
      <c r="N18" s="50"/>
      <c r="O18" s="4"/>
      <c r="P18" s="4"/>
      <c r="Q18" s="4"/>
      <c r="R18" s="47"/>
      <c r="S18" s="4"/>
      <c r="T18" s="47"/>
    </row>
    <row customHeight="true" hidden="true" ht="19" r="19">
      <c r="A19" s="36" t="str">
        <v>Alpro</v>
      </c>
      <c r="B19" s="46">
        <v>2500</v>
      </c>
      <c r="C19" s="46">
        <v>2000</v>
      </c>
      <c r="D19" s="46">
        <v>2000</v>
      </c>
      <c r="E19" s="46">
        <v>2000</v>
      </c>
      <c r="F19" s="46">
        <v>2000</v>
      </c>
      <c r="G19" s="46">
        <v>2000</v>
      </c>
      <c r="H19" s="46">
        <v>2000</v>
      </c>
      <c r="I19" s="46">
        <v>2000</v>
      </c>
      <c r="J19" s="46">
        <v>2000</v>
      </c>
      <c r="K19" s="46">
        <v>2000</v>
      </c>
      <c r="L19" s="46">
        <v>2000</v>
      </c>
      <c r="M19" s="46">
        <v>2000</v>
      </c>
      <c r="N19" s="50"/>
      <c r="O19" s="4"/>
      <c r="P19" s="4"/>
      <c r="Q19" s="4"/>
      <c r="R19" s="47"/>
      <c r="S19" s="4"/>
      <c r="T19" s="47"/>
    </row>
    <row customHeight="true" hidden="true" ht="19" r="20">
      <c r="A20" s="36" t="str">
        <v>DHL</v>
      </c>
      <c r="B20" s="46">
        <v>2000</v>
      </c>
      <c r="C20" s="46">
        <v>2000</v>
      </c>
      <c r="D20" s="46">
        <v>2000</v>
      </c>
      <c r="E20" s="46">
        <v>2000</v>
      </c>
      <c r="F20" s="46">
        <v>2000</v>
      </c>
      <c r="G20" s="46">
        <v>2000</v>
      </c>
      <c r="H20" s="46">
        <v>2000</v>
      </c>
      <c r="I20" s="46">
        <v>2000</v>
      </c>
      <c r="J20" s="46">
        <v>2000</v>
      </c>
      <c r="K20" s="46">
        <v>2000</v>
      </c>
      <c r="L20" s="46">
        <v>2000</v>
      </c>
      <c r="M20" s="46">
        <v>2000</v>
      </c>
      <c r="N20" s="50"/>
      <c r="O20" s="4"/>
      <c r="P20" s="4"/>
      <c r="Q20" s="4"/>
      <c r="R20" s="4"/>
      <c r="S20" s="4"/>
      <c r="T20" s="4"/>
    </row>
    <row customHeight="true" hidden="true" ht="19" r="21">
      <c r="A21" s="36" t="str">
        <v>DSV</v>
      </c>
      <c r="B21" s="46">
        <v>4850</v>
      </c>
      <c r="C21" s="46">
        <v>4850</v>
      </c>
      <c r="D21" s="46">
        <v>4850</v>
      </c>
      <c r="E21" s="46">
        <v>4850</v>
      </c>
      <c r="F21" s="46">
        <v>4850</v>
      </c>
      <c r="G21" s="46">
        <v>4850</v>
      </c>
      <c r="H21" s="46">
        <v>4850</v>
      </c>
      <c r="I21" s="46">
        <v>4850</v>
      </c>
      <c r="J21" s="46">
        <v>4850</v>
      </c>
      <c r="K21" s="46">
        <v>4850</v>
      </c>
      <c r="L21" s="46">
        <v>4850</v>
      </c>
      <c r="M21" s="46">
        <v>4850</v>
      </c>
      <c r="N21" s="50"/>
      <c r="O21" s="4"/>
      <c r="P21" s="4"/>
      <c r="Q21" s="4"/>
      <c r="R21" s="4"/>
      <c r="S21" s="4"/>
      <c r="T21" s="4"/>
    </row>
    <row customHeight="true" hidden="true" ht="19" r="22">
      <c r="A22" s="36" t="str">
        <v>SSN</v>
      </c>
      <c r="B22" s="46">
        <v>600</v>
      </c>
      <c r="C22" s="46">
        <v>600</v>
      </c>
      <c r="D22" s="46">
        <v>600</v>
      </c>
      <c r="E22" s="46">
        <v>600</v>
      </c>
      <c r="F22" s="46">
        <v>600</v>
      </c>
      <c r="G22" s="46">
        <v>600</v>
      </c>
      <c r="H22" s="46">
        <v>600</v>
      </c>
      <c r="I22" s="46">
        <v>600</v>
      </c>
      <c r="J22" s="46">
        <v>600</v>
      </c>
      <c r="K22" s="46">
        <v>600</v>
      </c>
      <c r="L22" s="46">
        <v>600</v>
      </c>
      <c r="M22" s="46">
        <v>600</v>
      </c>
      <c r="N22" s="50"/>
      <c r="O22" s="4"/>
      <c r="P22" s="4"/>
      <c r="Q22" s="4"/>
      <c r="R22" s="4"/>
      <c r="S22" s="4"/>
      <c r="T22" s="4"/>
    </row>
    <row customHeight="true" hidden="true" ht="19" r="23">
      <c r="A23" s="36" t="str">
        <v>Cokro</v>
      </c>
      <c r="B23" s="46">
        <v>1300</v>
      </c>
      <c r="C23" s="46">
        <v>1300</v>
      </c>
      <c r="D23" s="46">
        <v>1300</v>
      </c>
      <c r="E23" s="46">
        <v>1300</v>
      </c>
      <c r="F23" s="46">
        <v>1300</v>
      </c>
      <c r="G23" s="46">
        <v>1300</v>
      </c>
      <c r="H23" s="46">
        <v>1300</v>
      </c>
      <c r="I23" s="46">
        <v>1300</v>
      </c>
      <c r="J23" s="46">
        <v>1300</v>
      </c>
      <c r="K23" s="46">
        <v>1300</v>
      </c>
      <c r="L23" s="46">
        <v>1300</v>
      </c>
      <c r="M23" s="46">
        <v>1300</v>
      </c>
      <c r="N23" s="50"/>
      <c r="O23" s="4"/>
      <c r="P23" s="4"/>
      <c r="Q23" s="4"/>
      <c r="R23" s="4"/>
      <c r="S23" s="4"/>
      <c r="T23" s="4"/>
    </row>
    <row customHeight="true" hidden="true" ht="19" r="24">
      <c r="A24" s="36" t="str">
        <v>Selectro</v>
      </c>
      <c r="B24" s="46">
        <v>1000</v>
      </c>
      <c r="C24" s="46">
        <v>1000</v>
      </c>
      <c r="D24" s="46">
        <v>1000</v>
      </c>
      <c r="E24" s="46">
        <v>1000</v>
      </c>
      <c r="F24" s="46">
        <v>1000</v>
      </c>
      <c r="G24" s="46">
        <v>1000</v>
      </c>
      <c r="H24" s="46">
        <v>1000</v>
      </c>
      <c r="I24" s="46">
        <v>1000</v>
      </c>
      <c r="J24" s="46">
        <v>1000</v>
      </c>
      <c r="K24" s="46">
        <v>1000</v>
      </c>
      <c r="L24" s="46">
        <v>1000</v>
      </c>
      <c r="M24" s="46">
        <v>1000</v>
      </c>
      <c r="N24" s="50"/>
      <c r="O24" s="4"/>
      <c r="P24" s="4"/>
      <c r="Q24" s="4"/>
      <c r="R24" s="4"/>
      <c r="S24" s="4"/>
      <c r="T24" s="4"/>
    </row>
    <row customHeight="true" hidden="true" ht="19"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49"/>
      <c r="O25" s="4"/>
      <c r="P25" s="4"/>
      <c r="Q25" s="4"/>
      <c r="R25" s="4"/>
      <c r="S25" s="4"/>
      <c r="T25" s="4"/>
    </row>
    <row customHeight="true" hidden="true" ht="19" r="26">
      <c r="A26" s="30" t="str">
        <v>Seasonal</v>
      </c>
      <c r="B26" s="30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49"/>
      <c r="O26" s="4"/>
      <c r="P26" s="4"/>
      <c r="Q26" s="4"/>
      <c r="R26" s="4"/>
      <c r="S26" s="4"/>
      <c r="T26" s="4"/>
    </row>
    <row customHeight="true" hidden="true" ht="19" r="27">
      <c r="A27" s="36" t="str">
        <v>Pandor</v>
      </c>
      <c r="B27" s="36"/>
      <c r="C27" s="46">
        <v>1000</v>
      </c>
      <c r="D27" s="46">
        <v>1800</v>
      </c>
      <c r="E27" s="36"/>
      <c r="F27" s="36"/>
      <c r="G27" s="36"/>
      <c r="H27" s="36"/>
      <c r="I27" s="36"/>
      <c r="J27" s="36"/>
      <c r="K27" s="36"/>
      <c r="L27" s="36"/>
      <c r="M27" s="46">
        <v>2000</v>
      </c>
      <c r="N27" s="50"/>
      <c r="O27" s="4"/>
      <c r="P27" s="4"/>
      <c r="Q27" s="4"/>
      <c r="R27" s="4"/>
      <c r="S27" s="4"/>
      <c r="T27" s="4"/>
    </row>
    <row customHeight="true" hidden="true" ht="19" r="28">
      <c r="A28" s="36" t="str">
        <v>KiboChese</v>
      </c>
      <c r="B28" s="36"/>
      <c r="C28" s="46">
        <v>500</v>
      </c>
      <c r="D28" s="46">
        <v>1200</v>
      </c>
      <c r="E28" s="36"/>
      <c r="F28" s="36"/>
      <c r="G28" s="36"/>
      <c r="H28" s="36"/>
      <c r="I28" s="36"/>
      <c r="J28" s="36"/>
      <c r="K28" s="36"/>
      <c r="L28" s="36"/>
      <c r="M28" s="46">
        <v>1500</v>
      </c>
      <c r="N28" s="50"/>
      <c r="O28" s="4"/>
      <c r="P28" s="4"/>
      <c r="Q28" s="4"/>
      <c r="R28" s="4"/>
      <c r="S28" s="4"/>
      <c r="T28" s="4"/>
    </row>
    <row customHeight="true" hidden="true" ht="19" r="29">
      <c r="A29" s="36" t="str">
        <v>Bellin Bakery Jakarta</v>
      </c>
      <c r="B29" s="36"/>
      <c r="C29" s="46">
        <v>500</v>
      </c>
      <c r="D29" s="46">
        <v>2000</v>
      </c>
      <c r="E29" s="36"/>
      <c r="F29" s="36"/>
      <c r="G29" s="36"/>
      <c r="H29" s="36"/>
      <c r="I29" s="36"/>
      <c r="J29" s="36"/>
      <c r="K29" s="36"/>
      <c r="L29" s="36"/>
      <c r="M29" s="46">
        <v>2000</v>
      </c>
      <c r="N29" s="50"/>
      <c r="O29" s="4"/>
      <c r="P29" s="4"/>
      <c r="Q29" s="4"/>
      <c r="R29" s="4"/>
      <c r="S29" s="4"/>
      <c r="T29" s="4"/>
    </row>
    <row customHeight="true" hidden="true" ht="19" r="30">
      <c r="A30" s="36" t="str">
        <v>Bellin Bakery Surabaya</v>
      </c>
      <c r="B30" s="36"/>
      <c r="C30" s="46">
        <v>500</v>
      </c>
      <c r="D30" s="46">
        <v>1000</v>
      </c>
      <c r="E30" s="36"/>
      <c r="F30" s="36"/>
      <c r="G30" s="36"/>
      <c r="H30" s="36"/>
      <c r="I30" s="36"/>
      <c r="J30" s="36"/>
      <c r="K30" s="36"/>
      <c r="L30" s="36"/>
      <c r="M30" s="46">
        <v>1000</v>
      </c>
      <c r="N30" s="50"/>
      <c r="O30" s="4"/>
      <c r="P30" s="4"/>
      <c r="Q30" s="4"/>
      <c r="R30" s="4"/>
      <c r="S30" s="4"/>
      <c r="T30" s="4"/>
    </row>
    <row customHeight="true" hidden="true" ht="19" r="31">
      <c r="A31" s="36" t="str">
        <v>Exquise</v>
      </c>
      <c r="B31" s="36"/>
      <c r="C31" s="46">
        <v>100</v>
      </c>
      <c r="D31" s="46">
        <v>1000</v>
      </c>
      <c r="E31" s="36"/>
      <c r="F31" s="36"/>
      <c r="G31" s="36"/>
      <c r="H31" s="36"/>
      <c r="I31" s="36"/>
      <c r="J31" s="36"/>
      <c r="K31" s="36"/>
      <c r="L31" s="36"/>
      <c r="M31" s="46">
        <v>1000</v>
      </c>
      <c r="N31" s="50"/>
      <c r="O31" s="4"/>
      <c r="P31" s="4"/>
      <c r="Q31" s="4"/>
      <c r="R31" s="4"/>
      <c r="S31" s="4"/>
      <c r="T31" s="4"/>
    </row>
    <row customHeight="true" hidden="true" ht="19"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49"/>
      <c r="O32" s="4"/>
      <c r="P32" s="4"/>
      <c r="Q32" s="4"/>
      <c r="R32" s="4"/>
      <c r="S32" s="4"/>
      <c r="T32" s="4"/>
    </row>
    <row customHeight="true" hidden="true" ht="19"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49"/>
      <c r="O33" s="4"/>
      <c r="P33" s="4"/>
      <c r="Q33" s="4"/>
      <c r="R33" s="4"/>
      <c r="S33" s="4"/>
      <c r="T33" s="4"/>
    </row>
    <row customHeight="true" hidden="true" ht="19"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49"/>
      <c r="O34" s="4"/>
      <c r="P34" s="4"/>
      <c r="Q34" s="4"/>
      <c r="R34" s="4"/>
      <c r="S34" s="4"/>
      <c r="T34" s="4"/>
    </row>
    <row customHeight="true" hidden="true" ht="19" r="35">
      <c r="A35" s="30" t="str">
        <v>New Client</v>
      </c>
      <c r="B35" s="30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49"/>
      <c r="O35" s="4"/>
      <c r="P35" s="4"/>
      <c r="Q35" s="4"/>
      <c r="R35" s="4"/>
      <c r="S35" s="4"/>
      <c r="T35" s="4"/>
    </row>
    <row customHeight="true" hidden="true" ht="19" r="36">
      <c r="A36" s="36" t="str">
        <v>Alofresh</v>
      </c>
      <c r="B36" s="46">
        <v>500</v>
      </c>
      <c r="C36" s="46">
        <v>500</v>
      </c>
      <c r="D36" s="46">
        <v>500</v>
      </c>
      <c r="E36" s="46">
        <v>500</v>
      </c>
      <c r="F36" s="46">
        <v>500</v>
      </c>
      <c r="G36" s="46">
        <v>500</v>
      </c>
      <c r="H36" s="46">
        <v>700</v>
      </c>
      <c r="I36" s="46">
        <v>1000</v>
      </c>
      <c r="J36" s="46">
        <v>1200</v>
      </c>
      <c r="K36" s="46">
        <v>1500</v>
      </c>
      <c r="L36" s="46">
        <v>1500</v>
      </c>
      <c r="M36" s="46">
        <v>1500</v>
      </c>
      <c r="N36" s="50"/>
      <c r="O36" s="4"/>
      <c r="P36" s="4"/>
      <c r="Q36" s="4"/>
      <c r="R36" s="4"/>
      <c r="S36" s="4"/>
      <c r="T36" s="4"/>
    </row>
    <row customHeight="true" hidden="true" ht="19" r="37">
      <c r="A37" s="36" t="str">
        <v>Aido</v>
      </c>
      <c r="B37" s="46">
        <v>1000</v>
      </c>
      <c r="C37" s="46">
        <v>3000</v>
      </c>
      <c r="D37" s="46">
        <v>3000</v>
      </c>
      <c r="E37" s="46">
        <v>3000</v>
      </c>
      <c r="F37" s="46">
        <v>3000</v>
      </c>
      <c r="G37" s="46">
        <v>3000</v>
      </c>
      <c r="H37" s="46">
        <v>3000</v>
      </c>
      <c r="I37" s="46">
        <v>3000</v>
      </c>
      <c r="J37" s="46">
        <v>3000</v>
      </c>
      <c r="K37" s="46">
        <v>3000</v>
      </c>
      <c r="L37" s="46">
        <v>3000</v>
      </c>
      <c r="M37" s="46">
        <v>3000</v>
      </c>
      <c r="N37" s="50"/>
      <c r="O37" s="4"/>
      <c r="P37" s="4"/>
      <c r="Q37" s="4"/>
      <c r="R37" s="4"/>
      <c r="S37" s="4"/>
      <c r="T37" s="4"/>
    </row>
    <row customHeight="true" hidden="true" ht="19" r="38">
      <c r="A38" s="36" t="str">
        <v>Sodexo</v>
      </c>
      <c r="B38" s="46">
        <v>0</v>
      </c>
      <c r="C38" s="46">
        <v>300</v>
      </c>
      <c r="D38" s="46">
        <v>500</v>
      </c>
      <c r="E38" s="46">
        <v>900</v>
      </c>
      <c r="F38" s="46">
        <v>900</v>
      </c>
      <c r="G38" s="46">
        <v>900</v>
      </c>
      <c r="H38" s="46">
        <v>900</v>
      </c>
      <c r="I38" s="46">
        <v>900</v>
      </c>
      <c r="J38" s="46">
        <v>900</v>
      </c>
      <c r="K38" s="46">
        <v>900</v>
      </c>
      <c r="L38" s="46">
        <v>900</v>
      </c>
      <c r="M38" s="46">
        <v>900</v>
      </c>
      <c r="N38" s="50"/>
      <c r="O38" s="4"/>
      <c r="P38" s="4"/>
      <c r="Q38" s="4"/>
      <c r="R38" s="4"/>
      <c r="S38" s="4"/>
      <c r="T38" s="4"/>
    </row>
    <row customHeight="true" hidden="true" ht="19" r="39">
      <c r="A39" s="36" t="str">
        <v>Camilla La Mozzarella</v>
      </c>
      <c r="B39" s="46">
        <v>0</v>
      </c>
      <c r="C39" s="46">
        <v>500</v>
      </c>
      <c r="D39" s="46">
        <v>500</v>
      </c>
      <c r="E39" s="46">
        <v>500</v>
      </c>
      <c r="F39" s="46">
        <v>500</v>
      </c>
      <c r="G39" s="46">
        <v>500</v>
      </c>
      <c r="H39" s="46">
        <v>500</v>
      </c>
      <c r="I39" s="46">
        <v>500</v>
      </c>
      <c r="J39" s="46">
        <v>500</v>
      </c>
      <c r="K39" s="46">
        <v>500</v>
      </c>
      <c r="L39" s="46">
        <v>500</v>
      </c>
      <c r="M39" s="46">
        <v>500</v>
      </c>
      <c r="N39" s="50"/>
      <c r="O39" s="4"/>
      <c r="P39" s="4"/>
      <c r="Q39" s="4"/>
      <c r="R39" s="4"/>
      <c r="S39" s="4"/>
      <c r="T39" s="4"/>
    </row>
    <row customHeight="true" hidden="true" ht="19" r="40">
      <c r="A40" s="36" t="str">
        <v>dapoer seodjutarasa</v>
      </c>
      <c r="B40" s="46">
        <v>0</v>
      </c>
      <c r="C40" s="46">
        <v>300</v>
      </c>
      <c r="D40" s="46">
        <v>300</v>
      </c>
      <c r="E40" s="46">
        <v>300</v>
      </c>
      <c r="F40" s="46">
        <v>300</v>
      </c>
      <c r="G40" s="46">
        <v>300</v>
      </c>
      <c r="H40" s="46">
        <v>300</v>
      </c>
      <c r="I40" s="46">
        <v>300</v>
      </c>
      <c r="J40" s="46">
        <v>300</v>
      </c>
      <c r="K40" s="46">
        <v>300</v>
      </c>
      <c r="L40" s="46">
        <v>300</v>
      </c>
      <c r="M40" s="46">
        <v>300</v>
      </c>
      <c r="N40" s="50"/>
      <c r="O40" s="4"/>
      <c r="P40" s="4"/>
      <c r="Q40" s="4"/>
      <c r="R40" s="4"/>
      <c r="S40" s="4"/>
      <c r="T40" s="4"/>
    </row>
    <row customHeight="true" hidden="true" ht="19" r="41">
      <c r="A41" s="36" t="str">
        <v>SGL</v>
      </c>
      <c r="B41" s="46">
        <v>300</v>
      </c>
      <c r="C41" s="46">
        <v>300</v>
      </c>
      <c r="D41" s="46">
        <v>300</v>
      </c>
      <c r="E41" s="46">
        <v>300</v>
      </c>
      <c r="F41" s="46">
        <v>300</v>
      </c>
      <c r="G41" s="46">
        <v>300</v>
      </c>
      <c r="H41" s="46">
        <v>300</v>
      </c>
      <c r="I41" s="46">
        <v>300</v>
      </c>
      <c r="J41" s="46">
        <v>300</v>
      </c>
      <c r="K41" s="46">
        <v>300</v>
      </c>
      <c r="L41" s="46">
        <v>300</v>
      </c>
      <c r="M41" s="46">
        <v>300</v>
      </c>
      <c r="N41" s="50"/>
      <c r="O41" s="4"/>
      <c r="P41" s="4"/>
      <c r="Q41" s="4"/>
      <c r="R41" s="4"/>
      <c r="S41" s="4"/>
      <c r="T41" s="4"/>
    </row>
    <row customHeight="true" hidden="true" ht="19" r="42">
      <c r="A42" s="36" t="str">
        <v>Kebun Malika</v>
      </c>
      <c r="B42" s="46">
        <v>0</v>
      </c>
      <c r="C42" s="46">
        <v>500</v>
      </c>
      <c r="D42" s="46">
        <v>500</v>
      </c>
      <c r="E42" s="46">
        <v>500</v>
      </c>
      <c r="F42" s="46">
        <v>500</v>
      </c>
      <c r="G42" s="46">
        <v>500</v>
      </c>
      <c r="H42" s="46">
        <v>500</v>
      </c>
      <c r="I42" s="46">
        <v>500</v>
      </c>
      <c r="J42" s="46">
        <v>500</v>
      </c>
      <c r="K42" s="46">
        <v>500</v>
      </c>
      <c r="L42" s="46">
        <v>500</v>
      </c>
      <c r="M42" s="46">
        <v>500</v>
      </c>
      <c r="N42" s="50"/>
      <c r="O42" s="4"/>
      <c r="P42" s="4"/>
      <c r="Q42" s="4"/>
      <c r="R42" s="4"/>
      <c r="S42" s="4"/>
      <c r="T42" s="4"/>
    </row>
    <row customHeight="true" hidden="true" ht="19" r="43">
      <c r="A43" s="36" t="str">
        <v>Point Laundry</v>
      </c>
      <c r="B43" s="46">
        <v>100</v>
      </c>
      <c r="C43" s="46">
        <v>150</v>
      </c>
      <c r="D43" s="46">
        <v>200</v>
      </c>
      <c r="E43" s="46">
        <v>200</v>
      </c>
      <c r="F43" s="46">
        <v>200</v>
      </c>
      <c r="G43" s="46">
        <v>200</v>
      </c>
      <c r="H43" s="46">
        <v>200</v>
      </c>
      <c r="I43" s="46">
        <v>200</v>
      </c>
      <c r="J43" s="46">
        <v>200</v>
      </c>
      <c r="K43" s="46">
        <v>200</v>
      </c>
      <c r="L43" s="46">
        <v>500</v>
      </c>
      <c r="M43" s="46">
        <v>500</v>
      </c>
      <c r="N43" s="50"/>
      <c r="O43" s="4"/>
      <c r="P43" s="4"/>
      <c r="Q43" s="4"/>
      <c r="R43" s="4"/>
      <c r="S43" s="4"/>
      <c r="T43" s="4"/>
    </row>
    <row customHeight="true" hidden="true" ht="19" r="44">
      <c r="A44" s="36" t="str">
        <v>Modena</v>
      </c>
      <c r="B44" s="46"/>
      <c r="C44" s="46">
        <v>300</v>
      </c>
      <c r="D44" s="46">
        <v>300</v>
      </c>
      <c r="E44" s="46">
        <v>300</v>
      </c>
      <c r="F44" s="46">
        <v>300</v>
      </c>
      <c r="G44" s="46">
        <v>300</v>
      </c>
      <c r="H44" s="46">
        <v>300</v>
      </c>
      <c r="I44" s="46">
        <v>300</v>
      </c>
      <c r="J44" s="46">
        <v>300</v>
      </c>
      <c r="K44" s="46">
        <v>300</v>
      </c>
      <c r="L44" s="46">
        <v>300</v>
      </c>
      <c r="M44" s="46">
        <v>300</v>
      </c>
      <c r="N44" s="50"/>
      <c r="O44" s="4"/>
      <c r="P44" s="4"/>
      <c r="Q44" s="4"/>
      <c r="R44" s="4"/>
      <c r="S44" s="4"/>
      <c r="T44" s="4"/>
    </row>
    <row customHeight="true" hidden="true" ht="19" r="45">
      <c r="A45" s="36" t="str">
        <v>Insecta</v>
      </c>
      <c r="B45" s="46"/>
      <c r="C45" s="46">
        <v>300</v>
      </c>
      <c r="D45" s="46">
        <v>300</v>
      </c>
      <c r="E45" s="46">
        <v>300</v>
      </c>
      <c r="F45" s="46">
        <v>300</v>
      </c>
      <c r="G45" s="46">
        <v>300</v>
      </c>
      <c r="H45" s="46">
        <v>300</v>
      </c>
      <c r="I45" s="46">
        <v>300</v>
      </c>
      <c r="J45" s="46">
        <v>300</v>
      </c>
      <c r="K45" s="46">
        <v>300</v>
      </c>
      <c r="L45" s="46">
        <v>300</v>
      </c>
      <c r="M45" s="46">
        <v>300</v>
      </c>
      <c r="N45" s="50"/>
      <c r="O45" s="4"/>
      <c r="P45" s="4"/>
      <c r="Q45" s="4"/>
      <c r="R45" s="4"/>
      <c r="S45" s="4"/>
      <c r="T45" s="4"/>
    </row>
    <row customHeight="true" hidden="true" ht="19" r="46">
      <c r="A46" s="36" t="str">
        <v>VOdjo - Total buah</v>
      </c>
      <c r="B46" s="36"/>
      <c r="C46" s="46">
        <v>440</v>
      </c>
      <c r="D46" s="46">
        <v>440</v>
      </c>
      <c r="E46" s="46">
        <v>440</v>
      </c>
      <c r="F46" s="46">
        <v>440</v>
      </c>
      <c r="G46" s="46">
        <v>440</v>
      </c>
      <c r="H46" s="46">
        <v>440</v>
      </c>
      <c r="I46" s="46">
        <v>440</v>
      </c>
      <c r="J46" s="46">
        <v>440</v>
      </c>
      <c r="K46" s="46">
        <v>440</v>
      </c>
      <c r="L46" s="46">
        <v>440</v>
      </c>
      <c r="M46" s="46">
        <v>440</v>
      </c>
      <c r="N46" s="50"/>
      <c r="O46" s="4"/>
      <c r="P46" s="4"/>
      <c r="Q46" s="4"/>
      <c r="R46" s="4"/>
      <c r="S46" s="4"/>
      <c r="T46" s="4"/>
    </row>
    <row customHeight="true" hidden="true" ht="19" r="47">
      <c r="A47" s="36" t="str">
        <v>ESB - Esensi Buana Solusi</v>
      </c>
      <c r="B47" s="36"/>
      <c r="C47" s="46">
        <v>300</v>
      </c>
      <c r="D47" s="46">
        <v>300</v>
      </c>
      <c r="E47" s="46">
        <v>300</v>
      </c>
      <c r="F47" s="46">
        <v>300</v>
      </c>
      <c r="G47" s="46">
        <v>300</v>
      </c>
      <c r="H47" s="46">
        <v>300</v>
      </c>
      <c r="I47" s="46">
        <v>300</v>
      </c>
      <c r="J47" s="46">
        <v>300</v>
      </c>
      <c r="K47" s="46">
        <v>300</v>
      </c>
      <c r="L47" s="46">
        <v>300</v>
      </c>
      <c r="M47" s="46">
        <v>300</v>
      </c>
      <c r="N47" s="50"/>
      <c r="O47" s="4"/>
      <c r="P47" s="4"/>
      <c r="Q47" s="4"/>
      <c r="R47" s="4"/>
      <c r="S47" s="4"/>
      <c r="T47" s="4"/>
    </row>
    <row customHeight="true" hidden="true" ht="19" r="48">
      <c r="A48" s="30" t="str">
        <v>Klinik Pertamina IHC</v>
      </c>
      <c r="B48" s="30"/>
      <c r="C48" s="46">
        <v>100</v>
      </c>
      <c r="D48" s="46">
        <v>100</v>
      </c>
      <c r="E48" s="46">
        <v>200</v>
      </c>
      <c r="F48" s="46">
        <v>300</v>
      </c>
      <c r="G48" s="46">
        <v>500</v>
      </c>
      <c r="H48" s="46">
        <v>500</v>
      </c>
      <c r="I48" s="46">
        <v>500</v>
      </c>
      <c r="J48" s="46">
        <v>500</v>
      </c>
      <c r="K48" s="46">
        <v>500</v>
      </c>
      <c r="L48" s="46">
        <v>500</v>
      </c>
      <c r="M48" s="46">
        <v>500</v>
      </c>
      <c r="N48" s="50"/>
      <c r="O48" s="4"/>
      <c r="P48" s="4"/>
      <c r="Q48" s="4"/>
      <c r="R48" s="4"/>
      <c r="S48" s="4"/>
      <c r="T48" s="4"/>
    </row>
    <row customHeight="true" ht="19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49"/>
      <c r="O49" s="4"/>
      <c r="P49" s="4"/>
      <c r="Q49" s="4"/>
      <c r="R49" s="4"/>
      <c r="S49" s="4"/>
      <c r="T49" s="4"/>
    </row>
    <row customHeight="true" ht="19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49"/>
      <c r="O50" s="4"/>
      <c r="P50" s="4"/>
      <c r="Q50" s="4"/>
      <c r="R50" s="4"/>
      <c r="S50" s="4"/>
      <c r="T50" s="4"/>
    </row>
    <row customHeight="true" ht="19" r="51">
      <c r="A51" s="4"/>
      <c r="B51" s="4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"/>
      <c r="P51" s="4"/>
      <c r="Q51" s="4"/>
      <c r="R51" s="4"/>
      <c r="S51" s="4"/>
      <c r="T51" s="4"/>
    </row>
    <row customHeight="true" ht="19" r="52">
      <c r="A52" s="4"/>
      <c r="B52" s="4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"/>
      <c r="P52" s="4"/>
      <c r="Q52" s="4"/>
      <c r="R52" s="4"/>
      <c r="S52" s="4"/>
      <c r="T52" s="4"/>
    </row>
    <row customHeight="true" ht="19" r="53">
      <c r="A53" s="53" t="str">
        <v>Forecast 2026 Tiktok Grow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49"/>
      <c r="O53" s="4"/>
      <c r="P53" s="4"/>
      <c r="Q53" s="4"/>
      <c r="R53" s="4"/>
      <c r="S53" s="4"/>
      <c r="T53" s="4"/>
    </row>
    <row customHeight="true" ht="19" r="54">
      <c r="A54" s="4"/>
      <c r="B54" s="53"/>
      <c r="C54" s="54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49"/>
      <c r="O54" s="4"/>
      <c r="P54" s="4"/>
      <c r="Q54" s="4"/>
      <c r="R54" s="4"/>
      <c r="S54" s="4"/>
      <c r="T54" s="4"/>
    </row>
    <row customHeight="true" ht="19" r="55">
      <c r="A55" s="4"/>
      <c r="B55" s="53"/>
      <c r="C55" s="54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49"/>
      <c r="O55" s="4"/>
      <c r="P55" s="4"/>
      <c r="Q55" s="4"/>
      <c r="R55" s="4"/>
      <c r="S55" s="4"/>
      <c r="T55" s="4"/>
    </row>
    <row customHeight="true" ht="19" r="56">
      <c r="A56" s="4"/>
      <c r="B56" s="51">
        <v>46048</v>
      </c>
      <c r="C56" s="51">
        <v>46079</v>
      </c>
      <c r="D56" s="51">
        <v>46107</v>
      </c>
      <c r="E56" s="51">
        <v>46138</v>
      </c>
      <c r="F56" s="52">
        <v>46168</v>
      </c>
      <c r="G56" s="51">
        <v>46199</v>
      </c>
      <c r="H56" s="51">
        <v>46229</v>
      </c>
      <c r="I56" s="51">
        <v>46260</v>
      </c>
      <c r="J56" s="51">
        <v>46291</v>
      </c>
      <c r="K56" s="51">
        <v>46321</v>
      </c>
      <c r="L56" s="51">
        <v>46352</v>
      </c>
      <c r="M56" s="51">
        <v>46382</v>
      </c>
      <c r="N56" s="49"/>
      <c r="O56" s="4"/>
      <c r="P56" s="4"/>
      <c r="Q56" s="4"/>
      <c r="R56" s="4"/>
      <c r="S56" s="4"/>
      <c r="T56" s="4"/>
    </row>
    <row customHeight="true" ht="19" r="57">
      <c r="A57" s="56" t="str">
        <v>Total Delivery</v>
      </c>
      <c r="B57" s="46">
        <f>B58+B60</f>
      </c>
      <c r="C57" s="50">
        <f>C58+C60</f>
      </c>
      <c r="D57" s="50">
        <f>D58+D60</f>
      </c>
      <c r="E57" s="50">
        <f>E58+E60</f>
      </c>
      <c r="F57" s="50">
        <f>F58+F60</f>
      </c>
      <c r="G57" s="50">
        <f>G58+G60</f>
      </c>
      <c r="H57" s="50">
        <f>H58+H60</f>
      </c>
      <c r="I57" s="50">
        <f>I58+I60</f>
      </c>
      <c r="J57" s="50">
        <f>J58+J60</f>
      </c>
      <c r="K57" s="50">
        <f>K58+K60</f>
      </c>
      <c r="L57" s="50">
        <f>L58+L60</f>
      </c>
      <c r="M57" s="50">
        <f>M58+M60</f>
      </c>
      <c r="N57" s="49"/>
      <c r="O57" s="4"/>
      <c r="P57" s="4"/>
      <c r="Q57" s="4"/>
      <c r="R57" s="4"/>
      <c r="S57" s="4"/>
      <c r="T57" s="4"/>
    </row>
    <row customHeight="true" ht="19" r="58">
      <c r="A58" s="56" t="str">
        <v>Organic</v>
      </c>
      <c r="B58" s="59">
        <v>25000</v>
      </c>
      <c r="C58" s="50">
        <v>25750</v>
      </c>
      <c r="D58" s="50">
        <v>35900</v>
      </c>
      <c r="E58" s="50">
        <v>31827</v>
      </c>
      <c r="F58" s="50">
        <v>32781</v>
      </c>
      <c r="G58" s="50">
        <v>33765</v>
      </c>
      <c r="H58" s="50">
        <v>34778</v>
      </c>
      <c r="I58" s="50">
        <v>35821</v>
      </c>
      <c r="J58" s="50">
        <v>36896</v>
      </c>
      <c r="K58" s="50">
        <v>38003</v>
      </c>
      <c r="L58" s="50">
        <v>39143</v>
      </c>
      <c r="M58" s="50">
        <v>43058</v>
      </c>
      <c r="N58" s="49"/>
      <c r="O58" s="4"/>
      <c r="P58" s="4"/>
      <c r="Q58" s="4"/>
      <c r="R58" s="4"/>
      <c r="S58" s="4"/>
      <c r="T58" s="4"/>
    </row>
    <row customHeight="true" ht="19" r="59">
      <c r="A59" s="4"/>
      <c r="B59" s="59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4"/>
      <c r="P59" s="4"/>
      <c r="Q59" s="4"/>
      <c r="R59" s="4"/>
      <c r="S59" s="4"/>
      <c r="T59" s="4"/>
    </row>
    <row customHeight="true" ht="19" r="60">
      <c r="A60" s="4" t="str">
        <v>Total</v>
      </c>
      <c r="B60" s="46">
        <f>SUM(B62:B101)</f>
      </c>
      <c r="C60" s="46">
        <f>SUM(C62:C101)</f>
      </c>
      <c r="D60" s="46">
        <f>SUM(D62:D101)</f>
      </c>
      <c r="E60" s="46">
        <f>SUM(E62:E101)</f>
      </c>
      <c r="F60" s="46">
        <f>SUM(F62:F101)</f>
      </c>
      <c r="G60" s="46">
        <f>SUM(G62:G101)</f>
      </c>
      <c r="H60" s="46">
        <f>SUM(H62:H101)</f>
      </c>
      <c r="I60" s="46">
        <f>SUM(I62:I101)</f>
      </c>
      <c r="J60" s="46">
        <f>SUM(J62:J101)</f>
      </c>
      <c r="K60" s="46">
        <f>SUM(K62:K101)</f>
      </c>
      <c r="L60" s="46">
        <f>SUM(L62:L101)</f>
      </c>
      <c r="M60" s="46">
        <f>SUM(M62:M101)</f>
      </c>
      <c r="N60" s="49"/>
      <c r="O60" s="4"/>
      <c r="P60" s="4"/>
      <c r="Q60" s="4"/>
      <c r="R60" s="4"/>
      <c r="S60" s="4"/>
      <c r="T60" s="4"/>
    </row>
    <row customHeight="true" ht="19" r="61">
      <c r="A61" s="57"/>
      <c r="B61" s="5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"/>
      <c r="P61" s="4"/>
      <c r="Q61" s="4"/>
      <c r="R61" s="4"/>
      <c r="S61" s="4"/>
      <c r="T61" s="4"/>
    </row>
    <row customHeight="true" ht="19" r="62">
      <c r="A62" s="57" t="str">
        <v>Nuskin invoice</v>
      </c>
      <c r="B62" s="46">
        <v>1900</v>
      </c>
      <c r="C62" s="46">
        <v>1793</v>
      </c>
      <c r="D62" s="46">
        <v>2000</v>
      </c>
      <c r="E62" s="46">
        <v>1756</v>
      </c>
      <c r="F62" s="46">
        <v>2025</v>
      </c>
      <c r="G62" s="46">
        <v>2198</v>
      </c>
      <c r="H62" s="46">
        <v>1858</v>
      </c>
      <c r="I62" s="46">
        <v>1789</v>
      </c>
      <c r="J62" s="46">
        <v>1565</v>
      </c>
      <c r="K62" s="46">
        <v>1417</v>
      </c>
      <c r="L62" s="46">
        <v>1547</v>
      </c>
      <c r="M62" s="46">
        <v>2000</v>
      </c>
      <c r="N62" s="49"/>
      <c r="O62" s="4"/>
      <c r="P62" s="4"/>
      <c r="Q62" s="4"/>
      <c r="R62" s="4"/>
      <c r="S62" s="4"/>
      <c r="T62" s="4"/>
    </row>
    <row customHeight="true" ht="19" r="63">
      <c r="A63" s="57" t="str">
        <v>mClinica Akun Utama</v>
      </c>
      <c r="B63" s="46">
        <v>1500</v>
      </c>
      <c r="C63" s="46">
        <v>1500</v>
      </c>
      <c r="D63" s="46">
        <v>1500</v>
      </c>
      <c r="E63" s="46">
        <v>1500</v>
      </c>
      <c r="F63" s="46">
        <v>1500</v>
      </c>
      <c r="G63" s="46">
        <v>1500</v>
      </c>
      <c r="H63" s="46">
        <v>1500</v>
      </c>
      <c r="I63" s="46">
        <v>1500</v>
      </c>
      <c r="J63" s="46">
        <v>1500</v>
      </c>
      <c r="K63" s="46">
        <v>1500</v>
      </c>
      <c r="L63" s="46">
        <v>1500</v>
      </c>
      <c r="M63" s="46">
        <v>1500</v>
      </c>
      <c r="N63" s="49"/>
      <c r="O63" s="4"/>
      <c r="P63" s="4"/>
      <c r="Q63" s="4"/>
      <c r="R63" s="4"/>
      <c r="S63" s="4"/>
      <c r="T63" s="4"/>
    </row>
    <row customHeight="true" ht="19" r="64">
      <c r="A64" s="57" t="str">
        <v>PT. Cipta Dwiputra Cemerlang</v>
      </c>
      <c r="B64" s="46">
        <v>2500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9"/>
      <c r="O64" s="4"/>
      <c r="P64" s="4"/>
      <c r="Q64" s="4"/>
      <c r="R64" s="4"/>
      <c r="S64" s="4"/>
      <c r="T64" s="4"/>
    </row>
    <row customHeight="true" ht="19" r="65">
      <c r="A65" s="57" t="str">
        <v>Grouu Baby</v>
      </c>
      <c r="B65" s="46">
        <v>2300</v>
      </c>
      <c r="C65" s="46">
        <v>2200</v>
      </c>
      <c r="D65" s="46">
        <v>2200</v>
      </c>
      <c r="E65" s="46">
        <v>2200</v>
      </c>
      <c r="F65" s="46">
        <v>2200</v>
      </c>
      <c r="G65" s="46">
        <v>2200</v>
      </c>
      <c r="H65" s="46">
        <v>2200</v>
      </c>
      <c r="I65" s="46">
        <v>2200</v>
      </c>
      <c r="J65" s="46">
        <v>2200</v>
      </c>
      <c r="K65" s="46">
        <v>2200</v>
      </c>
      <c r="L65" s="46">
        <v>2200</v>
      </c>
      <c r="M65" s="46">
        <v>2200</v>
      </c>
      <c r="N65" s="49"/>
      <c r="O65" s="4"/>
      <c r="P65" s="4"/>
      <c r="Q65" s="4"/>
      <c r="R65" s="4"/>
      <c r="S65" s="4"/>
      <c r="T65" s="4"/>
    </row>
    <row customHeight="true" ht="19" r="66">
      <c r="A66" s="57" t="str">
        <v>Super Grain</v>
      </c>
      <c r="B66" s="46">
        <v>1000</v>
      </c>
      <c r="C66" s="46">
        <v>1000</v>
      </c>
      <c r="D66" s="46">
        <v>1000</v>
      </c>
      <c r="E66" s="46">
        <v>1000</v>
      </c>
      <c r="F66" s="46">
        <v>1000</v>
      </c>
      <c r="G66" s="46">
        <v>1000</v>
      </c>
      <c r="H66" s="46">
        <v>1000</v>
      </c>
      <c r="I66" s="46">
        <v>1000</v>
      </c>
      <c r="J66" s="46">
        <v>1000</v>
      </c>
      <c r="K66" s="46">
        <v>1000</v>
      </c>
      <c r="L66" s="46">
        <v>1000</v>
      </c>
      <c r="M66" s="46">
        <v>1000</v>
      </c>
      <c r="N66" s="49"/>
      <c r="O66" s="4"/>
      <c r="P66" s="4"/>
      <c r="Q66" s="4"/>
      <c r="R66" s="4"/>
      <c r="S66" s="4"/>
      <c r="T66" s="4"/>
    </row>
    <row customHeight="true" ht="19" r="67">
      <c r="A67" s="57" t="str">
        <v>Lazada Indonesia Invoice</v>
      </c>
      <c r="B67" s="46">
        <v>1000</v>
      </c>
      <c r="C67" s="46">
        <v>1000</v>
      </c>
      <c r="D67" s="46">
        <v>1000</v>
      </c>
      <c r="E67" s="46">
        <v>1000</v>
      </c>
      <c r="F67" s="46">
        <v>1000</v>
      </c>
      <c r="G67" s="46">
        <v>1000</v>
      </c>
      <c r="H67" s="46">
        <v>1000</v>
      </c>
      <c r="I67" s="46">
        <v>1000</v>
      </c>
      <c r="J67" s="46">
        <v>1000</v>
      </c>
      <c r="K67" s="46">
        <v>1000</v>
      </c>
      <c r="L67" s="46">
        <v>1000</v>
      </c>
      <c r="M67" s="46">
        <v>1000</v>
      </c>
      <c r="N67" s="49"/>
      <c r="O67" s="4"/>
      <c r="P67" s="4"/>
      <c r="Q67" s="4"/>
      <c r="R67" s="4"/>
      <c r="S67" s="4"/>
      <c r="T67" s="4"/>
    </row>
    <row customHeight="true" ht="19" r="68">
      <c r="A68" s="57" t="str">
        <v>Andalan Express Indonesia</v>
      </c>
      <c r="B68" s="46">
        <v>2700</v>
      </c>
      <c r="C68" s="46">
        <v>2700</v>
      </c>
      <c r="D68" s="46">
        <v>2700</v>
      </c>
      <c r="E68" s="46">
        <v>2700</v>
      </c>
      <c r="F68" s="46">
        <v>2700</v>
      </c>
      <c r="G68" s="46">
        <v>2700</v>
      </c>
      <c r="H68" s="46">
        <v>2700</v>
      </c>
      <c r="I68" s="46">
        <v>2700</v>
      </c>
      <c r="J68" s="46">
        <v>2700</v>
      </c>
      <c r="K68" s="46">
        <v>2700</v>
      </c>
      <c r="L68" s="46">
        <v>2700</v>
      </c>
      <c r="M68" s="46">
        <v>2700</v>
      </c>
      <c r="N68" s="49"/>
      <c r="O68" s="4"/>
      <c r="P68" s="4"/>
      <c r="Q68" s="4"/>
      <c r="R68" s="4"/>
      <c r="S68" s="4"/>
      <c r="T68" s="4"/>
    </row>
    <row customHeight="true" ht="19" r="69">
      <c r="A69" s="57" t="str">
        <v>Halodoc Indonesia</v>
      </c>
      <c r="B69" s="46">
        <v>15000</v>
      </c>
      <c r="C69" s="46">
        <v>20000</v>
      </c>
      <c r="D69" s="46">
        <v>30000</v>
      </c>
      <c r="E69" s="46">
        <v>30000</v>
      </c>
      <c r="F69" s="46">
        <v>30000</v>
      </c>
      <c r="G69" s="46">
        <v>30000</v>
      </c>
      <c r="H69" s="46">
        <v>30000</v>
      </c>
      <c r="I69" s="46">
        <v>30000</v>
      </c>
      <c r="J69" s="46">
        <v>30000</v>
      </c>
      <c r="K69" s="46">
        <v>30000</v>
      </c>
      <c r="L69" s="46">
        <v>30000</v>
      </c>
      <c r="M69" s="46">
        <v>30000</v>
      </c>
      <c r="N69" s="49"/>
      <c r="O69" s="4"/>
      <c r="P69" s="4"/>
      <c r="Q69" s="4"/>
      <c r="R69" s="4"/>
      <c r="S69" s="4"/>
      <c r="T69" s="4"/>
    </row>
    <row customHeight="true" ht="19" r="70">
      <c r="A70" s="57" t="str">
        <v>Klean Katering Invoice</v>
      </c>
      <c r="B70" s="46">
        <v>5500</v>
      </c>
      <c r="C70" s="46">
        <v>5500</v>
      </c>
      <c r="D70" s="46">
        <v>5500</v>
      </c>
      <c r="E70" s="46">
        <v>5500</v>
      </c>
      <c r="F70" s="46">
        <v>5500</v>
      </c>
      <c r="G70" s="46">
        <v>5500</v>
      </c>
      <c r="H70" s="46">
        <v>5500</v>
      </c>
      <c r="I70" s="46">
        <v>5500</v>
      </c>
      <c r="J70" s="46">
        <v>5500</v>
      </c>
      <c r="K70" s="46">
        <v>5500</v>
      </c>
      <c r="L70" s="46">
        <v>5500</v>
      </c>
      <c r="M70" s="46">
        <v>5500</v>
      </c>
      <c r="N70" s="49"/>
      <c r="O70" s="4"/>
      <c r="P70" s="4"/>
      <c r="Q70" s="4"/>
      <c r="R70" s="4"/>
      <c r="S70" s="4"/>
      <c r="T70" s="4"/>
    </row>
    <row customHeight="true" ht="19" r="71">
      <c r="A71" s="4" t="str">
        <v>Alpro</v>
      </c>
      <c r="B71" s="46">
        <v>2500</v>
      </c>
      <c r="C71" s="46">
        <v>2000</v>
      </c>
      <c r="D71" s="46">
        <v>2000</v>
      </c>
      <c r="E71" s="46">
        <v>2000</v>
      </c>
      <c r="F71" s="46">
        <v>2000</v>
      </c>
      <c r="G71" s="46">
        <v>2000</v>
      </c>
      <c r="H71" s="46">
        <v>2000</v>
      </c>
      <c r="I71" s="46">
        <v>2000</v>
      </c>
      <c r="J71" s="46">
        <v>2000</v>
      </c>
      <c r="K71" s="46">
        <v>2000</v>
      </c>
      <c r="L71" s="46">
        <v>2000</v>
      </c>
      <c r="M71" s="46">
        <v>2000</v>
      </c>
      <c r="N71" s="49"/>
      <c r="O71" s="4"/>
      <c r="P71" s="4"/>
      <c r="Q71" s="4"/>
      <c r="R71" s="4"/>
      <c r="S71" s="4"/>
      <c r="T71" s="4"/>
    </row>
    <row customHeight="true" ht="19" r="72">
      <c r="A72" s="4" t="str">
        <v>DHL</v>
      </c>
      <c r="B72" s="46">
        <v>2000</v>
      </c>
      <c r="C72" s="46">
        <v>2000</v>
      </c>
      <c r="D72" s="46">
        <v>2000</v>
      </c>
      <c r="E72" s="46">
        <v>2000</v>
      </c>
      <c r="F72" s="46">
        <v>2000</v>
      </c>
      <c r="G72" s="46">
        <v>2000</v>
      </c>
      <c r="H72" s="46">
        <v>2000</v>
      </c>
      <c r="I72" s="46">
        <v>2000</v>
      </c>
      <c r="J72" s="46">
        <v>2000</v>
      </c>
      <c r="K72" s="46">
        <v>2000</v>
      </c>
      <c r="L72" s="46">
        <v>2000</v>
      </c>
      <c r="M72" s="46">
        <v>2000</v>
      </c>
      <c r="N72" s="49"/>
      <c r="O72" s="4"/>
      <c r="P72" s="4"/>
      <c r="Q72" s="4"/>
      <c r="R72" s="4"/>
      <c r="S72" s="4"/>
      <c r="T72" s="4"/>
    </row>
    <row customHeight="true" ht="19" r="73">
      <c r="A73" s="4" t="str">
        <v>DSV</v>
      </c>
      <c r="B73" s="46">
        <v>4850</v>
      </c>
      <c r="C73" s="46">
        <v>4850</v>
      </c>
      <c r="D73" s="46">
        <v>4850</v>
      </c>
      <c r="E73" s="46">
        <v>4850</v>
      </c>
      <c r="F73" s="46">
        <v>4850</v>
      </c>
      <c r="G73" s="46">
        <v>4850</v>
      </c>
      <c r="H73" s="46">
        <v>4850</v>
      </c>
      <c r="I73" s="46">
        <v>4850</v>
      </c>
      <c r="J73" s="46">
        <v>4850</v>
      </c>
      <c r="K73" s="46">
        <v>4850</v>
      </c>
      <c r="L73" s="46">
        <v>4850</v>
      </c>
      <c r="M73" s="46">
        <v>4850</v>
      </c>
      <c r="N73" s="49"/>
      <c r="O73" s="4"/>
      <c r="P73" s="4"/>
      <c r="Q73" s="4"/>
      <c r="R73" s="4"/>
      <c r="S73" s="4"/>
      <c r="T73" s="4"/>
    </row>
    <row customHeight="true" ht="19" r="74">
      <c r="A74" s="4" t="str">
        <v>SSN</v>
      </c>
      <c r="B74" s="46">
        <v>600</v>
      </c>
      <c r="C74" s="46">
        <v>600</v>
      </c>
      <c r="D74" s="46">
        <v>600</v>
      </c>
      <c r="E74" s="46">
        <v>600</v>
      </c>
      <c r="F74" s="46">
        <v>600</v>
      </c>
      <c r="G74" s="46">
        <v>600</v>
      </c>
      <c r="H74" s="46">
        <v>600</v>
      </c>
      <c r="I74" s="46">
        <v>600</v>
      </c>
      <c r="J74" s="46">
        <v>600</v>
      </c>
      <c r="K74" s="46">
        <v>600</v>
      </c>
      <c r="L74" s="46">
        <v>600</v>
      </c>
      <c r="M74" s="46">
        <v>600</v>
      </c>
      <c r="N74" s="49"/>
      <c r="O74" s="4"/>
      <c r="P74" s="4"/>
      <c r="Q74" s="4"/>
      <c r="R74" s="4"/>
      <c r="S74" s="4"/>
      <c r="T74" s="4"/>
    </row>
    <row customHeight="true" ht="19" r="75">
      <c r="A75" s="4" t="str">
        <v>Cokro</v>
      </c>
      <c r="B75" s="46">
        <v>1300</v>
      </c>
      <c r="C75" s="46">
        <v>1300</v>
      </c>
      <c r="D75" s="46">
        <v>1300</v>
      </c>
      <c r="E75" s="46">
        <v>1300</v>
      </c>
      <c r="F75" s="46">
        <v>1300</v>
      </c>
      <c r="G75" s="46">
        <v>1300</v>
      </c>
      <c r="H75" s="46">
        <v>1300</v>
      </c>
      <c r="I75" s="46">
        <v>1300</v>
      </c>
      <c r="J75" s="46">
        <v>1300</v>
      </c>
      <c r="K75" s="46">
        <v>1300</v>
      </c>
      <c r="L75" s="46">
        <v>1300</v>
      </c>
      <c r="M75" s="46">
        <v>1300</v>
      </c>
      <c r="N75" s="49"/>
      <c r="O75" s="4"/>
      <c r="P75" s="4"/>
      <c r="Q75" s="4"/>
      <c r="R75" s="4"/>
      <c r="S75" s="4"/>
      <c r="T75" s="4"/>
    </row>
    <row customHeight="true" ht="19" r="76">
      <c r="A76" s="4" t="str">
        <v>Selectro</v>
      </c>
      <c r="B76" s="46">
        <v>1000</v>
      </c>
      <c r="C76" s="46">
        <v>1000</v>
      </c>
      <c r="D76" s="46">
        <v>1000</v>
      </c>
      <c r="E76" s="46">
        <v>1000</v>
      </c>
      <c r="F76" s="46">
        <v>1000</v>
      </c>
      <c r="G76" s="46">
        <v>1000</v>
      </c>
      <c r="H76" s="46">
        <v>1000</v>
      </c>
      <c r="I76" s="46">
        <v>1000</v>
      </c>
      <c r="J76" s="46">
        <v>1000</v>
      </c>
      <c r="K76" s="46">
        <v>1000</v>
      </c>
      <c r="L76" s="46">
        <v>1000</v>
      </c>
      <c r="M76" s="46">
        <v>1000</v>
      </c>
      <c r="N76" s="49"/>
      <c r="O76" s="4"/>
      <c r="P76" s="4"/>
      <c r="Q76" s="4"/>
      <c r="R76" s="4"/>
      <c r="S76" s="4"/>
      <c r="T76" s="4"/>
    </row>
    <row customHeight="true" ht="19" r="77">
      <c r="A77" s="4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49"/>
      <c r="O77" s="4"/>
      <c r="P77" s="4"/>
      <c r="Q77" s="4"/>
      <c r="R77" s="4"/>
      <c r="S77" s="4"/>
      <c r="T77" s="4"/>
    </row>
    <row customHeight="true" ht="19" r="78">
      <c r="A78" s="23" t="str">
        <v>Seasonal</v>
      </c>
      <c r="B78" s="30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49"/>
      <c r="O78" s="4"/>
      <c r="P78" s="4"/>
      <c r="Q78" s="4"/>
      <c r="R78" s="4"/>
      <c r="S78" s="4"/>
      <c r="T78" s="4"/>
    </row>
    <row customHeight="true" ht="19" r="79">
      <c r="A79" s="4" t="str">
        <v>Pandor</v>
      </c>
      <c r="B79" s="36"/>
      <c r="C79" s="46">
        <v>1000</v>
      </c>
      <c r="D79" s="46">
        <v>1800</v>
      </c>
      <c r="E79" s="36"/>
      <c r="F79" s="36"/>
      <c r="G79" s="36"/>
      <c r="H79" s="36"/>
      <c r="I79" s="36"/>
      <c r="J79" s="36"/>
      <c r="K79" s="36"/>
      <c r="L79" s="36"/>
      <c r="M79" s="46">
        <v>2000</v>
      </c>
      <c r="N79" s="49"/>
      <c r="O79" s="4"/>
      <c r="P79" s="4"/>
      <c r="Q79" s="4"/>
      <c r="R79" s="4"/>
      <c r="S79" s="4"/>
      <c r="T79" s="4"/>
    </row>
    <row customHeight="true" ht="19" r="80">
      <c r="A80" s="4" t="str">
        <v>KiboChese</v>
      </c>
      <c r="B80" s="36"/>
      <c r="C80" s="46">
        <v>500</v>
      </c>
      <c r="D80" s="46">
        <v>1200</v>
      </c>
      <c r="E80" s="36"/>
      <c r="F80" s="36"/>
      <c r="G80" s="36"/>
      <c r="H80" s="36"/>
      <c r="I80" s="36"/>
      <c r="J80" s="36"/>
      <c r="K80" s="36"/>
      <c r="L80" s="36"/>
      <c r="M80" s="46">
        <v>1500</v>
      </c>
      <c r="N80" s="49"/>
      <c r="O80" s="4"/>
      <c r="P80" s="4"/>
      <c r="Q80" s="4"/>
      <c r="R80" s="4"/>
      <c r="S80" s="4"/>
      <c r="T80" s="4"/>
    </row>
    <row customHeight="true" ht="19" r="81">
      <c r="A81" s="4" t="str">
        <v>Bellin Bakery Jakarta</v>
      </c>
      <c r="B81" s="36"/>
      <c r="C81" s="46">
        <v>500</v>
      </c>
      <c r="D81" s="46">
        <v>2000</v>
      </c>
      <c r="E81" s="36"/>
      <c r="F81" s="36"/>
      <c r="G81" s="36"/>
      <c r="H81" s="36"/>
      <c r="I81" s="36"/>
      <c r="J81" s="36"/>
      <c r="K81" s="36"/>
      <c r="L81" s="36"/>
      <c r="M81" s="46">
        <v>2000</v>
      </c>
      <c r="N81" s="49"/>
      <c r="O81" s="4"/>
      <c r="P81" s="4"/>
      <c r="Q81" s="4"/>
      <c r="R81" s="4"/>
      <c r="S81" s="4"/>
      <c r="T81" s="4"/>
    </row>
    <row customHeight="true" ht="19" r="82">
      <c r="A82" s="4" t="str">
        <v>Bellin Bakery Surabaya</v>
      </c>
      <c r="B82" s="36"/>
      <c r="C82" s="46">
        <v>500</v>
      </c>
      <c r="D82" s="46">
        <v>1000</v>
      </c>
      <c r="E82" s="36"/>
      <c r="F82" s="36"/>
      <c r="G82" s="36"/>
      <c r="H82" s="36"/>
      <c r="I82" s="36"/>
      <c r="J82" s="36"/>
      <c r="K82" s="36"/>
      <c r="L82" s="36"/>
      <c r="M82" s="46">
        <v>1000</v>
      </c>
      <c r="N82" s="49"/>
      <c r="O82" s="4"/>
      <c r="P82" s="4"/>
      <c r="Q82" s="4"/>
      <c r="R82" s="4"/>
      <c r="S82" s="4"/>
      <c r="T82" s="4"/>
    </row>
    <row customHeight="true" ht="19" r="83">
      <c r="A83" s="4" t="str">
        <v>Exquise</v>
      </c>
      <c r="B83" s="36"/>
      <c r="C83" s="46">
        <v>100</v>
      </c>
      <c r="D83" s="46">
        <v>1000</v>
      </c>
      <c r="E83" s="36"/>
      <c r="F83" s="36"/>
      <c r="G83" s="36"/>
      <c r="H83" s="36"/>
      <c r="I83" s="36"/>
      <c r="J83" s="36"/>
      <c r="K83" s="36"/>
      <c r="L83" s="36"/>
      <c r="M83" s="46">
        <v>1000</v>
      </c>
      <c r="N83" s="49"/>
      <c r="O83" s="4"/>
      <c r="P83" s="4"/>
      <c r="Q83" s="4"/>
      <c r="R83" s="4"/>
      <c r="S83" s="4"/>
      <c r="T83" s="4"/>
    </row>
    <row customHeight="true" ht="19" r="84">
      <c r="A84" s="4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49"/>
      <c r="O84" s="4"/>
      <c r="P84" s="4"/>
      <c r="Q84" s="4"/>
      <c r="R84" s="4"/>
      <c r="S84" s="4"/>
      <c r="T84" s="4"/>
    </row>
    <row customHeight="true" ht="19" r="85">
      <c r="A85" s="4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49"/>
      <c r="O85" s="4"/>
      <c r="P85" s="4"/>
      <c r="Q85" s="4"/>
      <c r="R85" s="4"/>
      <c r="S85" s="4"/>
      <c r="T85" s="4"/>
    </row>
    <row customHeight="true" ht="19" r="86">
      <c r="A86" s="4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49"/>
      <c r="O86" s="4"/>
      <c r="P86" s="4"/>
      <c r="Q86" s="4"/>
      <c r="R86" s="4"/>
      <c r="S86" s="4"/>
      <c r="T86" s="4"/>
    </row>
    <row customHeight="true" ht="19" r="87">
      <c r="A87" s="23" t="str">
        <v>New Client</v>
      </c>
      <c r="B87" s="30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49"/>
      <c r="O87" s="4"/>
      <c r="P87" s="4"/>
      <c r="Q87" s="4"/>
      <c r="R87" s="4"/>
      <c r="S87" s="4"/>
      <c r="T87" s="4"/>
    </row>
    <row customHeight="true" ht="19" r="88">
      <c r="A88" s="4" t="str">
        <v>Alofresh</v>
      </c>
      <c r="B88" s="46">
        <v>500</v>
      </c>
      <c r="C88" s="46">
        <v>500</v>
      </c>
      <c r="D88" s="46">
        <v>500</v>
      </c>
      <c r="E88" s="46">
        <v>500</v>
      </c>
      <c r="F88" s="46">
        <v>500</v>
      </c>
      <c r="G88" s="46">
        <v>500</v>
      </c>
      <c r="H88" s="46">
        <v>700</v>
      </c>
      <c r="I88" s="46">
        <v>1000</v>
      </c>
      <c r="J88" s="46">
        <v>1200</v>
      </c>
      <c r="K88" s="46">
        <v>1500</v>
      </c>
      <c r="L88" s="46">
        <v>1500</v>
      </c>
      <c r="M88" s="46">
        <v>1500</v>
      </c>
      <c r="N88" s="49"/>
      <c r="O88" s="4"/>
      <c r="P88" s="4"/>
      <c r="Q88" s="4"/>
      <c r="R88" s="4"/>
      <c r="S88" s="4"/>
      <c r="T88" s="4"/>
    </row>
    <row customHeight="true" ht="19" r="89">
      <c r="A89" s="4" t="str">
        <v>Aido</v>
      </c>
      <c r="B89" s="46">
        <v>1000</v>
      </c>
      <c r="C89" s="46">
        <v>3000</v>
      </c>
      <c r="D89" s="46">
        <v>3000</v>
      </c>
      <c r="E89" s="46">
        <v>3000</v>
      </c>
      <c r="F89" s="46">
        <v>3000</v>
      </c>
      <c r="G89" s="46">
        <v>3000</v>
      </c>
      <c r="H89" s="46">
        <v>3000</v>
      </c>
      <c r="I89" s="46">
        <v>3000</v>
      </c>
      <c r="J89" s="46">
        <v>3000</v>
      </c>
      <c r="K89" s="46">
        <v>3000</v>
      </c>
      <c r="L89" s="46">
        <v>3000</v>
      </c>
      <c r="M89" s="46">
        <v>3000</v>
      </c>
      <c r="N89" s="49"/>
      <c r="O89" s="4"/>
      <c r="P89" s="4"/>
      <c r="Q89" s="4"/>
      <c r="R89" s="4"/>
      <c r="S89" s="4"/>
      <c r="T89" s="4"/>
    </row>
    <row customHeight="true" ht="19" r="90">
      <c r="A90" s="4" t="str">
        <v>Sodexo</v>
      </c>
      <c r="B90" s="46">
        <v>0</v>
      </c>
      <c r="C90" s="46">
        <v>300</v>
      </c>
      <c r="D90" s="46">
        <v>500</v>
      </c>
      <c r="E90" s="46">
        <v>900</v>
      </c>
      <c r="F90" s="46">
        <v>900</v>
      </c>
      <c r="G90" s="46">
        <v>900</v>
      </c>
      <c r="H90" s="46">
        <v>900</v>
      </c>
      <c r="I90" s="46">
        <v>900</v>
      </c>
      <c r="J90" s="46">
        <v>900</v>
      </c>
      <c r="K90" s="46">
        <v>900</v>
      </c>
      <c r="L90" s="46">
        <v>900</v>
      </c>
      <c r="M90" s="46">
        <v>900</v>
      </c>
      <c r="N90" s="49"/>
      <c r="O90" s="4"/>
      <c r="P90" s="4"/>
      <c r="Q90" s="4"/>
      <c r="R90" s="4"/>
      <c r="S90" s="4"/>
      <c r="T90" s="4"/>
    </row>
    <row customHeight="true" ht="19" r="91">
      <c r="A91" s="4" t="str">
        <v>Camilla La Mozzarella</v>
      </c>
      <c r="B91" s="46">
        <v>0</v>
      </c>
      <c r="C91" s="46">
        <v>500</v>
      </c>
      <c r="D91" s="46">
        <v>500</v>
      </c>
      <c r="E91" s="46">
        <v>500</v>
      </c>
      <c r="F91" s="46">
        <v>500</v>
      </c>
      <c r="G91" s="46">
        <v>500</v>
      </c>
      <c r="H91" s="46">
        <v>500</v>
      </c>
      <c r="I91" s="46">
        <v>500</v>
      </c>
      <c r="J91" s="46">
        <v>500</v>
      </c>
      <c r="K91" s="46">
        <v>500</v>
      </c>
      <c r="L91" s="46">
        <v>500</v>
      </c>
      <c r="M91" s="46">
        <v>500</v>
      </c>
      <c r="N91" s="49"/>
      <c r="O91" s="4"/>
      <c r="P91" s="4"/>
      <c r="Q91" s="4"/>
      <c r="R91" s="4"/>
      <c r="S91" s="4"/>
      <c r="T91" s="4"/>
    </row>
    <row customHeight="true" ht="19" r="92">
      <c r="A92" s="4" t="str">
        <v>dapoer seodjutarasa</v>
      </c>
      <c r="B92" s="46">
        <v>0</v>
      </c>
      <c r="C92" s="46">
        <v>300</v>
      </c>
      <c r="D92" s="46">
        <v>300</v>
      </c>
      <c r="E92" s="46">
        <v>300</v>
      </c>
      <c r="F92" s="46">
        <v>300</v>
      </c>
      <c r="G92" s="46">
        <v>300</v>
      </c>
      <c r="H92" s="46">
        <v>300</v>
      </c>
      <c r="I92" s="46">
        <v>300</v>
      </c>
      <c r="J92" s="46">
        <v>300</v>
      </c>
      <c r="K92" s="46">
        <v>300</v>
      </c>
      <c r="L92" s="46">
        <v>300</v>
      </c>
      <c r="M92" s="46">
        <v>300</v>
      </c>
      <c r="N92" s="49"/>
      <c r="O92" s="4"/>
      <c r="P92" s="4"/>
      <c r="Q92" s="4"/>
      <c r="R92" s="4"/>
      <c r="S92" s="4"/>
      <c r="T92" s="4"/>
    </row>
    <row customHeight="true" ht="19" r="93">
      <c r="A93" s="4" t="str">
        <v>SGL</v>
      </c>
      <c r="B93" s="46">
        <v>300</v>
      </c>
      <c r="C93" s="46">
        <v>300</v>
      </c>
      <c r="D93" s="46">
        <v>300</v>
      </c>
      <c r="E93" s="46">
        <v>300</v>
      </c>
      <c r="F93" s="46">
        <v>300</v>
      </c>
      <c r="G93" s="46">
        <v>300</v>
      </c>
      <c r="H93" s="46">
        <v>300</v>
      </c>
      <c r="I93" s="46">
        <v>300</v>
      </c>
      <c r="J93" s="46">
        <v>300</v>
      </c>
      <c r="K93" s="46">
        <v>300</v>
      </c>
      <c r="L93" s="46">
        <v>300</v>
      </c>
      <c r="M93" s="46">
        <v>300</v>
      </c>
      <c r="N93" s="49"/>
      <c r="O93" s="4"/>
      <c r="P93" s="4"/>
      <c r="Q93" s="4"/>
      <c r="R93" s="4"/>
      <c r="S93" s="4"/>
      <c r="T93" s="4"/>
    </row>
    <row customHeight="true" ht="19" r="94">
      <c r="A94" s="4" t="str">
        <v>Kebun Malika</v>
      </c>
      <c r="B94" s="46">
        <v>0</v>
      </c>
      <c r="C94" s="46">
        <v>500</v>
      </c>
      <c r="D94" s="46">
        <v>500</v>
      </c>
      <c r="E94" s="46">
        <v>500</v>
      </c>
      <c r="F94" s="46">
        <v>500</v>
      </c>
      <c r="G94" s="46">
        <v>500</v>
      </c>
      <c r="H94" s="46">
        <v>500</v>
      </c>
      <c r="I94" s="46">
        <v>500</v>
      </c>
      <c r="J94" s="46">
        <v>500</v>
      </c>
      <c r="K94" s="46">
        <v>500</v>
      </c>
      <c r="L94" s="46">
        <v>500</v>
      </c>
      <c r="M94" s="46">
        <v>500</v>
      </c>
      <c r="N94" s="49"/>
      <c r="O94" s="4"/>
      <c r="P94" s="4"/>
      <c r="Q94" s="4"/>
      <c r="R94" s="4"/>
      <c r="S94" s="4"/>
      <c r="T94" s="4"/>
    </row>
    <row customHeight="true" ht="19" r="95">
      <c r="A95" s="4" t="str">
        <v>Point Laundry</v>
      </c>
      <c r="B95" s="46">
        <v>100</v>
      </c>
      <c r="C95" s="46">
        <v>150</v>
      </c>
      <c r="D95" s="46">
        <v>200</v>
      </c>
      <c r="E95" s="46">
        <v>200</v>
      </c>
      <c r="F95" s="46">
        <v>200</v>
      </c>
      <c r="G95" s="46">
        <v>200</v>
      </c>
      <c r="H95" s="46">
        <v>200</v>
      </c>
      <c r="I95" s="46">
        <v>200</v>
      </c>
      <c r="J95" s="46">
        <v>200</v>
      </c>
      <c r="K95" s="46">
        <v>200</v>
      </c>
      <c r="L95" s="46">
        <v>500</v>
      </c>
      <c r="M95" s="46">
        <v>500</v>
      </c>
      <c r="N95" s="49"/>
      <c r="O95" s="4"/>
      <c r="P95" s="4"/>
      <c r="Q95" s="4"/>
      <c r="R95" s="4"/>
      <c r="S95" s="4"/>
      <c r="T95" s="4"/>
    </row>
    <row customHeight="true" ht="19" r="96">
      <c r="A96" s="4" t="str">
        <v>Modena</v>
      </c>
      <c r="B96" s="46"/>
      <c r="C96" s="46">
        <v>300</v>
      </c>
      <c r="D96" s="46">
        <v>300</v>
      </c>
      <c r="E96" s="46">
        <v>300</v>
      </c>
      <c r="F96" s="46">
        <v>300</v>
      </c>
      <c r="G96" s="46">
        <v>300</v>
      </c>
      <c r="H96" s="46">
        <v>300</v>
      </c>
      <c r="I96" s="46">
        <v>300</v>
      </c>
      <c r="J96" s="46">
        <v>300</v>
      </c>
      <c r="K96" s="46">
        <v>300</v>
      </c>
      <c r="L96" s="46">
        <v>300</v>
      </c>
      <c r="M96" s="46">
        <v>300</v>
      </c>
      <c r="N96" s="49"/>
      <c r="O96" s="4"/>
      <c r="P96" s="4"/>
      <c r="Q96" s="4"/>
      <c r="R96" s="4"/>
      <c r="S96" s="4"/>
      <c r="T96" s="4"/>
    </row>
    <row customHeight="true" ht="19" r="97">
      <c r="A97" s="4" t="str">
        <v>Insecta</v>
      </c>
      <c r="B97" s="46"/>
      <c r="C97" s="46">
        <v>300</v>
      </c>
      <c r="D97" s="46">
        <v>300</v>
      </c>
      <c r="E97" s="46">
        <v>300</v>
      </c>
      <c r="F97" s="46">
        <v>300</v>
      </c>
      <c r="G97" s="46">
        <v>300</v>
      </c>
      <c r="H97" s="46">
        <v>300</v>
      </c>
      <c r="I97" s="46">
        <v>300</v>
      </c>
      <c r="J97" s="46">
        <v>300</v>
      </c>
      <c r="K97" s="46">
        <v>300</v>
      </c>
      <c r="L97" s="46">
        <v>300</v>
      </c>
      <c r="M97" s="46">
        <v>300</v>
      </c>
      <c r="N97" s="49"/>
      <c r="O97" s="4"/>
      <c r="P97" s="4"/>
      <c r="Q97" s="4"/>
      <c r="R97" s="4"/>
      <c r="S97" s="4"/>
      <c r="T97" s="4"/>
    </row>
    <row customHeight="true" ht="19" r="98">
      <c r="A98" s="4" t="str">
        <v>VOdjo - Total buah</v>
      </c>
      <c r="B98" s="36"/>
      <c r="C98" s="46">
        <v>440</v>
      </c>
      <c r="D98" s="46">
        <v>440</v>
      </c>
      <c r="E98" s="46">
        <v>440</v>
      </c>
      <c r="F98" s="46">
        <v>440</v>
      </c>
      <c r="G98" s="46">
        <v>440</v>
      </c>
      <c r="H98" s="46">
        <v>440</v>
      </c>
      <c r="I98" s="46">
        <v>440</v>
      </c>
      <c r="J98" s="46">
        <v>440</v>
      </c>
      <c r="K98" s="46">
        <v>440</v>
      </c>
      <c r="L98" s="46">
        <v>440</v>
      </c>
      <c r="M98" s="46">
        <v>440</v>
      </c>
      <c r="N98" s="49"/>
      <c r="O98" s="4"/>
      <c r="P98" s="4"/>
      <c r="Q98" s="4"/>
      <c r="R98" s="4"/>
      <c r="S98" s="4"/>
      <c r="T98" s="4"/>
    </row>
    <row customHeight="true" ht="19" r="99">
      <c r="A99" s="4" t="str">
        <v>ESB - Esensi Buana Solusi</v>
      </c>
      <c r="B99" s="36"/>
      <c r="C99" s="46">
        <v>300</v>
      </c>
      <c r="D99" s="46">
        <v>300</v>
      </c>
      <c r="E99" s="46">
        <v>300</v>
      </c>
      <c r="F99" s="46">
        <v>300</v>
      </c>
      <c r="G99" s="46">
        <v>300</v>
      </c>
      <c r="H99" s="46">
        <v>300</v>
      </c>
      <c r="I99" s="46">
        <v>300</v>
      </c>
      <c r="J99" s="46">
        <v>300</v>
      </c>
      <c r="K99" s="46">
        <v>300</v>
      </c>
      <c r="L99" s="46">
        <v>300</v>
      </c>
      <c r="M99" s="46">
        <v>300</v>
      </c>
      <c r="N99" s="49"/>
      <c r="O99" s="4"/>
      <c r="P99" s="4"/>
      <c r="Q99" s="4"/>
      <c r="R99" s="4"/>
      <c r="S99" s="4"/>
      <c r="T99" s="4"/>
    </row>
    <row customHeight="true" ht="19" r="100">
      <c r="A100" s="23" t="str">
        <v>Klinik Pertamina IHC</v>
      </c>
      <c r="B100" s="30"/>
      <c r="C100" s="46">
        <v>100</v>
      </c>
      <c r="D100" s="46">
        <v>100</v>
      </c>
      <c r="E100" s="46">
        <v>200</v>
      </c>
      <c r="F100" s="46">
        <v>300</v>
      </c>
      <c r="G100" s="46">
        <v>500</v>
      </c>
      <c r="H100" s="46">
        <v>500</v>
      </c>
      <c r="I100" s="46">
        <v>500</v>
      </c>
      <c r="J100" s="46">
        <v>500</v>
      </c>
      <c r="K100" s="46">
        <v>500</v>
      </c>
      <c r="L100" s="46">
        <v>500</v>
      </c>
      <c r="M100" s="46">
        <v>500</v>
      </c>
      <c r="N100" s="49"/>
      <c r="O100" s="4"/>
      <c r="P100" s="4"/>
      <c r="Q100" s="4"/>
      <c r="R100" s="4"/>
      <c r="S100" s="4"/>
      <c r="T100" s="4"/>
    </row>
    <row customHeight="true" ht="19" r="101">
      <c r="A101" s="4" t="str">
        <v>TikTok</v>
      </c>
      <c r="B101" s="4"/>
      <c r="C101" s="50">
        <v>9000</v>
      </c>
      <c r="D101" s="50">
        <f>C101+6000</f>
      </c>
      <c r="E101" s="50">
        <f>D101+5000</f>
      </c>
      <c r="F101" s="50">
        <f>E101+5000</f>
      </c>
      <c r="G101" s="50">
        <f>F101+5000</f>
      </c>
      <c r="H101" s="50">
        <f>G101+5000</f>
      </c>
      <c r="I101" s="50">
        <f>H101+5000</f>
      </c>
      <c r="J101" s="50">
        <f>I101+5000</f>
      </c>
      <c r="K101" s="50">
        <f>J101+5000</f>
      </c>
      <c r="L101" s="50">
        <f>K101+15000</f>
      </c>
      <c r="M101" s="50">
        <f>L101+25000</f>
      </c>
      <c r="N101" s="49"/>
      <c r="O101" s="4"/>
      <c r="P101" s="4"/>
      <c r="Q101" s="4"/>
      <c r="R101" s="4"/>
      <c r="S101" s="4"/>
      <c r="T101" s="4"/>
    </row>
  </sheetData>
  <mergeCells>
    <mergeCell ref="A1:M1"/>
    <mergeCell ref="A53:M53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/>
    <row r="2"/>
    <row r="3"/>
    <row r="4">
      <c r="E4" s="60" t="str">
        <v>1st order</v>
      </c>
      <c r="F4" s="60" t="str">
        <v>next order</v>
      </c>
      <c r="G4" s="60" t="str">
        <v>next order</v>
      </c>
      <c r="H4" s="60" t="str">
        <v>next order</v>
      </c>
    </row>
    <row r="5">
      <c r="D5" s="60" t="str">
        <v>Blitz Cost</v>
      </c>
      <c r="E5" s="62">
        <v>16000</v>
      </c>
      <c r="F5" s="62">
        <v>16000</v>
      </c>
      <c r="G5" s="62">
        <v>16000</v>
      </c>
      <c r="H5" s="62">
        <v>16000</v>
      </c>
    </row>
    <row customHeight="true" ht="19" r="6">
      <c r="D6" s="60"/>
      <c r="E6" s="61">
        <v>9000</v>
      </c>
      <c r="F6" s="61">
        <v>9000</v>
      </c>
      <c r="G6" s="61">
        <v>9000</v>
      </c>
      <c r="H6" s="61">
        <v>9000</v>
      </c>
    </row>
    <row customHeight="true" ht="19" r="7">
      <c r="D7" s="60" t="str">
        <v>Blitz Margin</v>
      </c>
      <c r="E7" s="60">
        <v>360</v>
      </c>
      <c r="F7" s="60">
        <v>360</v>
      </c>
      <c r="G7" s="60">
        <v>360</v>
      </c>
      <c r="H7" s="60">
        <v>360</v>
      </c>
    </row>
    <row r="8">
      <c r="D8" s="60" t="str">
        <v>Borzo</v>
      </c>
      <c r="E8" s="61">
        <v>9000</v>
      </c>
      <c r="F8" s="61">
        <v>3200</v>
      </c>
      <c r="G8" s="61">
        <v>3200</v>
      </c>
      <c r="H8" s="61">
        <v>3200</v>
      </c>
    </row>
    <row r="9">
      <c r="D9" s="60" t="str">
        <v>Borzo margin</v>
      </c>
      <c r="E9" s="61">
        <v>1000</v>
      </c>
      <c r="F9" s="60">
        <v>800</v>
      </c>
      <c r="G9" s="60">
        <v>800</v>
      </c>
      <c r="H9" s="60">
        <v>800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